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Beaune Handball\Data\"/>
    </mc:Choice>
  </mc:AlternateContent>
  <xr:revisionPtr revIDLastSave="0" documentId="13_ncr:1_{3182DD37-B37B-433D-8656-B566FB5900F3}" xr6:coauthVersionLast="47" xr6:coauthVersionMax="47" xr10:uidLastSave="{00000000-0000-0000-0000-000000000000}"/>
  <bookViews>
    <workbookView xWindow="-98" yWindow="-98" windowWidth="19396" windowHeight="11475" firstSheet="2" activeTab="2" xr2:uid="{92067B7C-C8B8-49CF-AE5C-71A030AE0FF4}"/>
  </bookViews>
  <sheets>
    <sheet name="Feuil6" sheetId="6" r:id="rId1"/>
    <sheet name="Tirs &amp; Buts par Match" sheetId="9" r:id="rId2"/>
    <sheet name="Arrêts" sheetId="1" r:id="rId3"/>
    <sheet name="TCD" sheetId="7" r:id="rId4"/>
    <sheet name="StatJoueurs" sheetId="8" r:id="rId5"/>
    <sheet name="Discipline" sheetId="3" r:id="rId6"/>
    <sheet name="RefMatchs" sheetId="2" r:id="rId7"/>
    <sheet name="RefJoueurs" sheetId="10" r:id="rId8"/>
  </sheets>
  <definedNames>
    <definedName name="_xlnm._FilterDatabase" localSheetId="2" hidden="1">Arrêts!$A$1:$D$1</definedName>
    <definedName name="_xlnm._FilterDatabase" localSheetId="7" hidden="1">RefJoueurs!$A$1:$E$1</definedName>
    <definedName name="_xlnm._FilterDatabase" localSheetId="4" hidden="1">StatJoueurs!$A$1:$F$1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0" l="1"/>
  <c r="B6" i="10"/>
  <c r="B7" i="10"/>
  <c r="B8" i="10"/>
  <c r="B9" i="10"/>
  <c r="B10" i="10"/>
  <c r="B11" i="10"/>
  <c r="B12" i="10"/>
  <c r="B13" i="10"/>
  <c r="B14" i="10"/>
  <c r="B15" i="10"/>
  <c r="B17" i="10"/>
  <c r="B18" i="10"/>
  <c r="B19" i="10"/>
  <c r="C6" i="8"/>
  <c r="C18" i="8"/>
  <c r="C12" i="8"/>
  <c r="C7" i="8"/>
  <c r="C4" i="8"/>
  <c r="C3" i="8"/>
  <c r="C16" i="8"/>
  <c r="C13" i="8"/>
  <c r="C9" i="8"/>
  <c r="C5" i="8"/>
  <c r="C11" i="8"/>
  <c r="C10" i="8"/>
  <c r="C19" i="8"/>
  <c r="C14" i="8"/>
  <c r="C17" i="8"/>
  <c r="C2" i="8"/>
  <c r="C8" i="8"/>
  <c r="C15" i="8"/>
</calcChain>
</file>

<file path=xl/sharedStrings.xml><?xml version="1.0" encoding="utf-8"?>
<sst xmlns="http://schemas.openxmlformats.org/spreadsheetml/2006/main" count="1788" uniqueCount="143">
  <si>
    <t>Match</t>
  </si>
  <si>
    <t>Gardiens</t>
  </si>
  <si>
    <t xml:space="preserve">Arrêt </t>
  </si>
  <si>
    <t>ACS-BHB</t>
  </si>
  <si>
    <t>ANN-BHB</t>
  </si>
  <si>
    <t>BEL-BHB</t>
  </si>
  <si>
    <t>BHB-ANN</t>
  </si>
  <si>
    <t>BHB-CER</t>
  </si>
  <si>
    <t>BHB-CHA</t>
  </si>
  <si>
    <t>BHB-SEL</t>
  </si>
  <si>
    <t>BHB-STB</t>
  </si>
  <si>
    <t>BHB-TOR</t>
  </si>
  <si>
    <t>IVR-BHB</t>
  </si>
  <si>
    <t>MET-BHB</t>
  </si>
  <si>
    <t>SEL-BHB</t>
  </si>
  <si>
    <t>TOR-BHB</t>
  </si>
  <si>
    <t>BHB-ACS</t>
  </si>
  <si>
    <t>Journée</t>
  </si>
  <si>
    <t>J9</t>
  </si>
  <si>
    <t>J5</t>
  </si>
  <si>
    <t>J6</t>
  </si>
  <si>
    <t>J1</t>
  </si>
  <si>
    <t>J13</t>
  </si>
  <si>
    <t>BHB-CRE</t>
  </si>
  <si>
    <t>J4</t>
  </si>
  <si>
    <t>BHB-IVR</t>
  </si>
  <si>
    <t>J10</t>
  </si>
  <si>
    <t>J7</t>
  </si>
  <si>
    <t>CER-BHB</t>
  </si>
  <si>
    <t>J12</t>
  </si>
  <si>
    <t>CHA-BHB</t>
  </si>
  <si>
    <t>J2</t>
  </si>
  <si>
    <t>CRE-BHB</t>
  </si>
  <si>
    <t>J11</t>
  </si>
  <si>
    <t>J3</t>
  </si>
  <si>
    <t>J8</t>
  </si>
  <si>
    <t>J14</t>
  </si>
  <si>
    <t>J15</t>
  </si>
  <si>
    <t>J16</t>
  </si>
  <si>
    <t>BHB-BEL</t>
  </si>
  <si>
    <t>J17</t>
  </si>
  <si>
    <t>J18</t>
  </si>
  <si>
    <t>J19</t>
  </si>
  <si>
    <t>J20</t>
  </si>
  <si>
    <t>Phase</t>
  </si>
  <si>
    <t>Date Match</t>
  </si>
  <si>
    <t>Lieu</t>
  </si>
  <si>
    <t>ALLER</t>
  </si>
  <si>
    <t>22/11/2025</t>
  </si>
  <si>
    <t>Extérieur</t>
  </si>
  <si>
    <t>18/10/2025</t>
  </si>
  <si>
    <t>25/10/2025</t>
  </si>
  <si>
    <t>Domicile</t>
  </si>
  <si>
    <t>06/09/2025</t>
  </si>
  <si>
    <t>RETOUR</t>
  </si>
  <si>
    <t>14/02/2026</t>
  </si>
  <si>
    <t>04/10/2025</t>
  </si>
  <si>
    <t>06/12/2025</t>
  </si>
  <si>
    <t>08/11/2025</t>
  </si>
  <si>
    <t>07/02/2026</t>
  </si>
  <si>
    <t>13/09/2025</t>
  </si>
  <si>
    <t>13/12/2025</t>
  </si>
  <si>
    <t>21/09/2025</t>
  </si>
  <si>
    <t>15/11/2025</t>
  </si>
  <si>
    <t>21/02/2026</t>
  </si>
  <si>
    <t>28/02/2026</t>
  </si>
  <si>
    <t>14/03/2026</t>
  </si>
  <si>
    <t>28/03/2026</t>
  </si>
  <si>
    <t>05/04/2026</t>
  </si>
  <si>
    <t>19/04/2026</t>
  </si>
  <si>
    <t>02/05/2026</t>
  </si>
  <si>
    <t xml:space="preserve">Francois Mai </t>
  </si>
  <si>
    <t>Corentin Stephan</t>
  </si>
  <si>
    <t>Joueurs</t>
  </si>
  <si>
    <t>2mn</t>
  </si>
  <si>
    <t>Dis</t>
  </si>
  <si>
    <t>Numéro</t>
  </si>
  <si>
    <t>Joueur</t>
  </si>
  <si>
    <t>2 NAUDIN P.</t>
  </si>
  <si>
    <t>3 NAUDIN T.</t>
  </si>
  <si>
    <t>25 FAVERIN</t>
  </si>
  <si>
    <t>7 PLISSONNIER</t>
  </si>
  <si>
    <t>8 PANIC</t>
  </si>
  <si>
    <t>9 MINANA</t>
  </si>
  <si>
    <t>10 GREGULSKI V.</t>
  </si>
  <si>
    <t>12 STEPHAN</t>
  </si>
  <si>
    <t>13 THELCIDE</t>
  </si>
  <si>
    <t>15 COSNIER</t>
  </si>
  <si>
    <t>16 MAI</t>
  </si>
  <si>
    <t>19 GOSTOMSKI</t>
  </si>
  <si>
    <t>21 CHAZALON</t>
  </si>
  <si>
    <t>24 MINY</t>
  </si>
  <si>
    <t>33 NAUDIN H.</t>
  </si>
  <si>
    <t>92 PHAROSE</t>
  </si>
  <si>
    <t>4 HERMAND</t>
  </si>
  <si>
    <t>J21</t>
  </si>
  <si>
    <t>J22</t>
  </si>
  <si>
    <t>5 BON</t>
  </si>
  <si>
    <t xml:space="preserve">Somme de Arrêt </t>
  </si>
  <si>
    <t>Nombre de Journée</t>
  </si>
  <si>
    <t>Étiquettes de lignes</t>
  </si>
  <si>
    <t>(vide)</t>
  </si>
  <si>
    <t>Total général</t>
  </si>
  <si>
    <t>Somme de 2mn</t>
  </si>
  <si>
    <t>Somme de Dis</t>
  </si>
  <si>
    <t>Matchs Joués</t>
  </si>
  <si>
    <t>Rouge</t>
  </si>
  <si>
    <t>% Matchs joués</t>
  </si>
  <si>
    <t>Dis/Match</t>
  </si>
  <si>
    <t>STB-BHB</t>
  </si>
  <si>
    <t>BHB-MET</t>
  </si>
  <si>
    <t>Buts</t>
  </si>
  <si>
    <t>Tirs</t>
  </si>
  <si>
    <t>ARRIERE</t>
  </si>
  <si>
    <t>Axel</t>
  </si>
  <si>
    <t>GARDIEN</t>
  </si>
  <si>
    <t>Corentin</t>
  </si>
  <si>
    <t>AILIER</t>
  </si>
  <si>
    <t>Jean</t>
  </si>
  <si>
    <t>Kylian</t>
  </si>
  <si>
    <t>PHAROSE</t>
  </si>
  <si>
    <t>Milan</t>
  </si>
  <si>
    <t>Hugo</t>
  </si>
  <si>
    <t>Théo</t>
  </si>
  <si>
    <t>DEMI-CENTRE</t>
  </si>
  <si>
    <t>Paul</t>
  </si>
  <si>
    <t>PIVOT</t>
  </si>
  <si>
    <t>Gabin</t>
  </si>
  <si>
    <t>Lilian</t>
  </si>
  <si>
    <t>François</t>
  </si>
  <si>
    <t>Mathieu</t>
  </si>
  <si>
    <t>Vincent</t>
  </si>
  <si>
    <t>Sasha</t>
  </si>
  <si>
    <t>Léan</t>
  </si>
  <si>
    <t>FAVERIN</t>
  </si>
  <si>
    <t>Lubin</t>
  </si>
  <si>
    <t>Marius</t>
  </si>
  <si>
    <t>CHAZALON</t>
  </si>
  <si>
    <t>Gabriel</t>
  </si>
  <si>
    <t>BON</t>
  </si>
  <si>
    <t>Poste</t>
  </si>
  <si>
    <t>Prénom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</si>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</sst>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0"/>
      <name val="Aptos Display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D7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0" fontId="4" fillId="2" borderId="0" xfId="0" applyFont="1" applyFill="1" applyAlignment="1">
      <alignment horizontal="right" vertical="center" indent="1"/>
    </xf>
    <xf numFmtId="0" fontId="0" fillId="0" borderId="0" xfId="0" pivotButton="1"/>
    <xf numFmtId="0" fontId="0" fillId="0" borderId="1" xfId="0" applyBorder="1" applyAlignment="1">
      <alignment horizontal="left"/>
    </xf>
    <xf numFmtId="0" fontId="0" fillId="0" borderId="1" xfId="0" applyBorder="1"/>
    <xf numFmtId="9" fontId="0" fillId="0" borderId="1" xfId="1" applyFont="1" applyBorder="1"/>
    <xf numFmtId="164" fontId="0" fillId="0" borderId="1" xfId="0" applyNumberFormat="1" applyBorder="1"/>
    <xf numFmtId="0" fontId="2" fillId="3" borderId="1" xfId="0" applyFont="1" applyFill="1" applyBorder="1"/>
    <xf numFmtId="14" fontId="0" fillId="0" borderId="0" xfId="0" applyNumberFormat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[StatsJoueurs2526.xlsx]Feuil6!Tableau croisé dynamique15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Arrêt  par Match et Gardiens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Feuil6!$B$3:$B$4</c:f>
              <c:strCache>
                <c:ptCount val="1"/>
                <c:pt idx="0">
                  <c:v>Corentin Stephan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Feuil6!$A$5:$A$24</c:f>
              <c:strCache>
                <c:ptCount val="20"/>
                <c:pt idx="0">
                  <c:v>ACS-BHB</c:v>
                </c:pt>
                <c:pt idx="1">
                  <c:v>ANN-BHB</c:v>
                </c:pt>
                <c:pt idx="2">
                  <c:v>BEL-BHB</c:v>
                </c:pt>
                <c:pt idx="3">
                  <c:v>BHB-ACS</c:v>
                </c:pt>
                <c:pt idx="4">
                  <c:v>BHB-ANN</c:v>
                </c:pt>
                <c:pt idx="5">
                  <c:v>BHB-BEL</c:v>
                </c:pt>
                <c:pt idx="6">
                  <c:v>BHB-CER</c:v>
                </c:pt>
                <c:pt idx="7">
                  <c:v>BHB-CHA</c:v>
                </c:pt>
                <c:pt idx="8">
                  <c:v>BHB-CRE</c:v>
                </c:pt>
                <c:pt idx="9">
                  <c:v>BHB-IVR</c:v>
                </c:pt>
                <c:pt idx="10">
                  <c:v>BHB-SEL</c:v>
                </c:pt>
                <c:pt idx="11">
                  <c:v>BHB-STB</c:v>
                </c:pt>
                <c:pt idx="12">
                  <c:v>BHB-TOR</c:v>
                </c:pt>
                <c:pt idx="13">
                  <c:v>CER-BHB</c:v>
                </c:pt>
                <c:pt idx="14">
                  <c:v>CHA-BHB</c:v>
                </c:pt>
                <c:pt idx="15">
                  <c:v>CRE-BHB</c:v>
                </c:pt>
                <c:pt idx="16">
                  <c:v>IVR-BHB</c:v>
                </c:pt>
                <c:pt idx="17">
                  <c:v>MET-BHB</c:v>
                </c:pt>
                <c:pt idx="18">
                  <c:v>SEL-BHB</c:v>
                </c:pt>
                <c:pt idx="19">
                  <c:v>TOR-BHB</c:v>
                </c:pt>
              </c:strCache>
            </c:strRef>
          </c:cat>
          <c:val>
            <c:numRef>
              <c:f>Feuil6!$B$5:$B$24</c:f>
              <c:numCache>
                <c:formatCode>General</c:formatCode>
                <c:ptCount val="20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6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4</c:v>
                </c:pt>
                <c:pt idx="17">
                  <c:v>12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C-4F99-8D36-265EC8BEF131}"/>
            </c:ext>
          </c:extLst>
        </c:ser>
        <c:ser>
          <c:idx val="1"/>
          <c:order val="1"/>
          <c:tx>
            <c:strRef>
              <c:f>Feuil6!$C$3:$C$4</c:f>
              <c:strCache>
                <c:ptCount val="1"/>
                <c:pt idx="0">
                  <c:v>Francois Mai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Feuil6!$A$5:$A$24</c:f>
              <c:strCache>
                <c:ptCount val="20"/>
                <c:pt idx="0">
                  <c:v>ACS-BHB</c:v>
                </c:pt>
                <c:pt idx="1">
                  <c:v>ANN-BHB</c:v>
                </c:pt>
                <c:pt idx="2">
                  <c:v>BEL-BHB</c:v>
                </c:pt>
                <c:pt idx="3">
                  <c:v>BHB-ACS</c:v>
                </c:pt>
                <c:pt idx="4">
                  <c:v>BHB-ANN</c:v>
                </c:pt>
                <c:pt idx="5">
                  <c:v>BHB-BEL</c:v>
                </c:pt>
                <c:pt idx="6">
                  <c:v>BHB-CER</c:v>
                </c:pt>
                <c:pt idx="7">
                  <c:v>BHB-CHA</c:v>
                </c:pt>
                <c:pt idx="8">
                  <c:v>BHB-CRE</c:v>
                </c:pt>
                <c:pt idx="9">
                  <c:v>BHB-IVR</c:v>
                </c:pt>
                <c:pt idx="10">
                  <c:v>BHB-SEL</c:v>
                </c:pt>
                <c:pt idx="11">
                  <c:v>BHB-STB</c:v>
                </c:pt>
                <c:pt idx="12">
                  <c:v>BHB-TOR</c:v>
                </c:pt>
                <c:pt idx="13">
                  <c:v>CER-BHB</c:v>
                </c:pt>
                <c:pt idx="14">
                  <c:v>CHA-BHB</c:v>
                </c:pt>
                <c:pt idx="15">
                  <c:v>CRE-BHB</c:v>
                </c:pt>
                <c:pt idx="16">
                  <c:v>IVR-BHB</c:v>
                </c:pt>
                <c:pt idx="17">
                  <c:v>MET-BHB</c:v>
                </c:pt>
                <c:pt idx="18">
                  <c:v>SEL-BHB</c:v>
                </c:pt>
                <c:pt idx="19">
                  <c:v>TOR-BHB</c:v>
                </c:pt>
              </c:strCache>
            </c:strRef>
          </c:cat>
          <c:val>
            <c:numRef>
              <c:f>Feuil6!$C$5:$C$24</c:f>
              <c:numCache>
                <c:formatCode>General</c:formatCode>
                <c:ptCount val="20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13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7</c:v>
                </c:pt>
                <c:pt idx="13">
                  <c:v>13</c:v>
                </c:pt>
                <c:pt idx="14">
                  <c:v>8</c:v>
                </c:pt>
                <c:pt idx="15">
                  <c:v>15</c:v>
                </c:pt>
                <c:pt idx="16">
                  <c:v>6</c:v>
                </c:pt>
                <c:pt idx="17">
                  <c:v>0</c:v>
                </c:pt>
                <c:pt idx="18">
                  <c:v>5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C-4F99-8D36-265EC8BE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889999"/>
        <c:axId val="1373890959"/>
      </c:barChart>
      <c:catAx>
        <c:axId val="137388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3890959"/>
        <c:crosses val="autoZero"/>
        <c:auto val="1"/>
        <c:lblAlgn val="ctr"/>
        <c:lblOffset val="100"/>
        <c:noMultiLvlLbl val="0"/>
      </c:catAx>
      <c:valAx>
        <c:axId val="13738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38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664368</xdr:colOff>
      <xdr:row>3</xdr:row>
      <xdr:rowOff>114300</xdr:rowOff>
    </xdr:from>
    <xdr:to>
      <xdr:col>9</xdr:col>
      <xdr:colOff>664368</xdr:colOff>
      <xdr:row>18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300B230-551C-D32F-B442-E5A4124FD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ime ADJERAD" refreshedDate="46145.418222685184" createdVersion="8" refreshedVersion="8" minRefreshableVersion="3" recordCount="40" xr:uid="{59C27D8B-8DA2-4C4F-A0AF-BC5196232FF1}">
  <cacheSource type="worksheet">
    <worksheetSource ref="A1:D41" sheet="Arrêts"/>
  </cacheSource>
  <cacheFields count="4">
    <cacheField name="Journée" numFmtId="0">
      <sharedItems/>
    </cacheField>
    <cacheField name="Match" numFmtId="0">
      <sharedItems count="20">
        <s v="BHB-CHA"/>
        <s v="BHB-STB"/>
        <s v="MET-BHB"/>
        <s v="CHA-BHB"/>
        <s v="BHB-CRE"/>
        <s v="BHB-SEL"/>
        <s v="IVR-BHB"/>
        <s v="BHB-BEL"/>
        <s v="ANN-BHB"/>
        <s v="BHB-CER"/>
        <s v="BHB-TOR"/>
        <s v="CRE-BHB"/>
        <s v="BHB-ACS"/>
        <s v="SEL-BHB"/>
        <s v="BHB-IVR"/>
        <s v="BEL-BHB"/>
        <s v="BHB-ANN"/>
        <s v="CER-BHB"/>
        <s v="TOR-BHB"/>
        <s v="ACS-BHB"/>
      </sharedItems>
    </cacheField>
    <cacheField name="Gardiens" numFmtId="0">
      <sharedItems count="2">
        <s v="Francois Mai "/>
        <s v="Corentin Stephan"/>
      </sharedItems>
    </cacheField>
    <cacheField name="Arrêt 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ime ADJERAD" refreshedDate="46145.419275578701" createdVersion="8" refreshedVersion="8" minRefreshableVersion="3" recordCount="276" xr:uid="{3D23355D-33C9-40A5-94C6-16FE3B2BDC6D}">
  <cacheSource type="worksheet">
    <worksheetSource ref="A1:E1048576" sheet="Discipline"/>
  </cacheSource>
  <cacheFields count="5">
    <cacheField name="Journée" numFmtId="0">
      <sharedItems containsBlank="1"/>
    </cacheField>
    <cacheField name="Match" numFmtId="0">
      <sharedItems containsBlank="1"/>
    </cacheField>
    <cacheField name="Joueurs" numFmtId="0">
      <sharedItems containsBlank="1" count="19">
        <s v="2 NAUDIN P."/>
        <s v="3 NAUDIN T."/>
        <s v="25 FAVERIN"/>
        <s v="7 PLISSONNIER"/>
        <s v="8 PANIC"/>
        <s v="9 MINANA"/>
        <s v="10 GREGULSKI V."/>
        <s v="15 COSNIER"/>
        <s v="19 GOSTOMSKI"/>
        <s v="24 MINY"/>
        <s v="33 NAUDIN H."/>
        <s v="92 PHAROSE"/>
        <s v="12 STEPHAN"/>
        <s v="16 MAI"/>
        <s v="4 HERMAND"/>
        <s v="5 BON"/>
        <s v="13 THELCIDE"/>
        <s v="21 CHAZALON"/>
        <m/>
      </sharedItems>
    </cacheField>
    <cacheField name="2mn" numFmtId="0">
      <sharedItems containsString="0" containsBlank="1" containsNumber="1" containsInteger="1" minValue="1" maxValue="3"/>
    </cacheField>
    <cacheField name="Di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J1"/>
    <x v="0"/>
    <x v="0"/>
    <n v="9"/>
  </r>
  <r>
    <s v="J1"/>
    <x v="0"/>
    <x v="1"/>
    <n v="0"/>
  </r>
  <r>
    <s v="J10"/>
    <x v="1"/>
    <x v="0"/>
    <n v="11"/>
  </r>
  <r>
    <s v="J10"/>
    <x v="1"/>
    <x v="1"/>
    <n v="0"/>
  </r>
  <r>
    <s v="J11"/>
    <x v="2"/>
    <x v="0"/>
    <n v="0"/>
  </r>
  <r>
    <s v="J11"/>
    <x v="2"/>
    <x v="1"/>
    <n v="12"/>
  </r>
  <r>
    <s v="J12"/>
    <x v="3"/>
    <x v="0"/>
    <n v="8"/>
  </r>
  <r>
    <s v="J12"/>
    <x v="3"/>
    <x v="1"/>
    <n v="2"/>
  </r>
  <r>
    <s v="J13"/>
    <x v="4"/>
    <x v="0"/>
    <n v="7"/>
  </r>
  <r>
    <s v="J13"/>
    <x v="4"/>
    <x v="1"/>
    <n v="2"/>
  </r>
  <r>
    <s v="J14"/>
    <x v="5"/>
    <x v="0"/>
    <n v="8"/>
  </r>
  <r>
    <s v="J14"/>
    <x v="5"/>
    <x v="1"/>
    <n v="0"/>
  </r>
  <r>
    <s v="J15"/>
    <x v="6"/>
    <x v="0"/>
    <n v="6"/>
  </r>
  <r>
    <s v="J15"/>
    <x v="6"/>
    <x v="1"/>
    <n v="4"/>
  </r>
  <r>
    <s v="J16"/>
    <x v="7"/>
    <x v="0"/>
    <n v="5"/>
  </r>
  <r>
    <s v="J16"/>
    <x v="7"/>
    <x v="1"/>
    <n v="6"/>
  </r>
  <r>
    <s v="J17"/>
    <x v="8"/>
    <x v="0"/>
    <n v="7"/>
  </r>
  <r>
    <s v="J17"/>
    <x v="8"/>
    <x v="1"/>
    <n v="5"/>
  </r>
  <r>
    <s v="J18"/>
    <x v="9"/>
    <x v="0"/>
    <n v="6"/>
  </r>
  <r>
    <s v="J18"/>
    <x v="9"/>
    <x v="1"/>
    <n v="4"/>
  </r>
  <r>
    <s v="J19"/>
    <x v="10"/>
    <x v="0"/>
    <n v="7"/>
  </r>
  <r>
    <s v="J19"/>
    <x v="10"/>
    <x v="1"/>
    <n v="7"/>
  </r>
  <r>
    <s v="J2"/>
    <x v="11"/>
    <x v="0"/>
    <n v="15"/>
  </r>
  <r>
    <s v="J2"/>
    <x v="11"/>
    <x v="1"/>
    <n v="0"/>
  </r>
  <r>
    <s v="J20"/>
    <x v="12"/>
    <x v="0"/>
    <n v="9"/>
  </r>
  <r>
    <s v="J20"/>
    <x v="12"/>
    <x v="1"/>
    <n v="3"/>
  </r>
  <r>
    <s v="J3"/>
    <x v="13"/>
    <x v="0"/>
    <n v="5"/>
  </r>
  <r>
    <s v="J3"/>
    <x v="13"/>
    <x v="1"/>
    <n v="4"/>
  </r>
  <r>
    <s v="J4"/>
    <x v="14"/>
    <x v="0"/>
    <n v="11"/>
  </r>
  <r>
    <s v="J4"/>
    <x v="14"/>
    <x v="1"/>
    <n v="0"/>
  </r>
  <r>
    <s v="J5"/>
    <x v="15"/>
    <x v="0"/>
    <n v="5"/>
  </r>
  <r>
    <s v="J5"/>
    <x v="15"/>
    <x v="1"/>
    <n v="4"/>
  </r>
  <r>
    <s v="J6"/>
    <x v="16"/>
    <x v="0"/>
    <n v="13"/>
  </r>
  <r>
    <s v="J6"/>
    <x v="16"/>
    <x v="1"/>
    <n v="0"/>
  </r>
  <r>
    <s v="J7"/>
    <x v="17"/>
    <x v="0"/>
    <n v="13"/>
  </r>
  <r>
    <s v="J7"/>
    <x v="17"/>
    <x v="1"/>
    <n v="0"/>
  </r>
  <r>
    <s v="J8"/>
    <x v="18"/>
    <x v="0"/>
    <n v="6"/>
  </r>
  <r>
    <s v="J8"/>
    <x v="18"/>
    <x v="1"/>
    <n v="5"/>
  </r>
  <r>
    <s v="J9"/>
    <x v="19"/>
    <x v="0"/>
    <n v="3"/>
  </r>
  <r>
    <s v="J9"/>
    <x v="19"/>
    <x v="1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s v="J20"/>
    <s v="BHB-ACS"/>
    <x v="0"/>
    <m/>
    <m/>
  </r>
  <r>
    <s v="J20"/>
    <s v="BHB-ACS"/>
    <x v="1"/>
    <m/>
    <m/>
  </r>
  <r>
    <s v="J20"/>
    <s v="BHB-ACS"/>
    <x v="2"/>
    <m/>
    <m/>
  </r>
  <r>
    <s v="J20"/>
    <s v="BHB-ACS"/>
    <x v="3"/>
    <m/>
    <m/>
  </r>
  <r>
    <s v="J20"/>
    <s v="BHB-ACS"/>
    <x v="4"/>
    <m/>
    <m/>
  </r>
  <r>
    <s v="J20"/>
    <s v="BHB-ACS"/>
    <x v="5"/>
    <m/>
    <m/>
  </r>
  <r>
    <s v="J20"/>
    <s v="BHB-ACS"/>
    <x v="6"/>
    <m/>
    <m/>
  </r>
  <r>
    <s v="J20"/>
    <s v="BHB-ACS"/>
    <x v="7"/>
    <m/>
    <m/>
  </r>
  <r>
    <s v="J20"/>
    <s v="BHB-ACS"/>
    <x v="8"/>
    <n v="2"/>
    <m/>
  </r>
  <r>
    <s v="J20"/>
    <s v="BHB-ACS"/>
    <x v="9"/>
    <n v="1"/>
    <m/>
  </r>
  <r>
    <s v="J20"/>
    <s v="BHB-ACS"/>
    <x v="10"/>
    <n v="1"/>
    <m/>
  </r>
  <r>
    <s v="J20"/>
    <s v="BHB-ACS"/>
    <x v="11"/>
    <n v="1"/>
    <m/>
  </r>
  <r>
    <s v="J20"/>
    <s v="BHB-ACS"/>
    <x v="12"/>
    <m/>
    <m/>
  </r>
  <r>
    <s v="J20"/>
    <s v="BHB-ACS"/>
    <x v="13"/>
    <m/>
    <m/>
  </r>
  <r>
    <s v="J19"/>
    <s v="BHB-TOR"/>
    <x v="0"/>
    <m/>
    <m/>
  </r>
  <r>
    <s v="J19"/>
    <s v="BHB-TOR"/>
    <x v="1"/>
    <m/>
    <m/>
  </r>
  <r>
    <s v="J19"/>
    <s v="BHB-TOR"/>
    <x v="2"/>
    <m/>
    <m/>
  </r>
  <r>
    <s v="J19"/>
    <s v="BHB-TOR"/>
    <x v="14"/>
    <m/>
    <m/>
  </r>
  <r>
    <s v="J19"/>
    <s v="BHB-TOR"/>
    <x v="4"/>
    <m/>
    <m/>
  </r>
  <r>
    <s v="J19"/>
    <s v="BHB-TOR"/>
    <x v="5"/>
    <m/>
    <m/>
  </r>
  <r>
    <s v="J19"/>
    <s v="BHB-TOR"/>
    <x v="6"/>
    <m/>
    <m/>
  </r>
  <r>
    <s v="J19"/>
    <s v="BHB-TOR"/>
    <x v="7"/>
    <n v="1"/>
    <m/>
  </r>
  <r>
    <s v="J19"/>
    <s v="BHB-TOR"/>
    <x v="8"/>
    <m/>
    <m/>
  </r>
  <r>
    <s v="J19"/>
    <s v="BHB-TOR"/>
    <x v="9"/>
    <m/>
    <m/>
  </r>
  <r>
    <s v="J19"/>
    <s v="BHB-TOR"/>
    <x v="15"/>
    <m/>
    <m/>
  </r>
  <r>
    <s v="J19"/>
    <s v="BHB-TOR"/>
    <x v="11"/>
    <m/>
    <m/>
  </r>
  <r>
    <s v="J19"/>
    <s v="BHB-TOR"/>
    <x v="12"/>
    <m/>
    <m/>
  </r>
  <r>
    <s v="J19"/>
    <s v="BHB-TOR"/>
    <x v="13"/>
    <m/>
    <m/>
  </r>
  <r>
    <s v="J18"/>
    <s v="BHB-CER"/>
    <x v="7"/>
    <m/>
    <m/>
  </r>
  <r>
    <s v="J18"/>
    <s v="BHB-CER"/>
    <x v="2"/>
    <n v="1"/>
    <m/>
  </r>
  <r>
    <s v="J18"/>
    <s v="BHB-CER"/>
    <x v="8"/>
    <m/>
    <m/>
  </r>
  <r>
    <s v="J18"/>
    <s v="BHB-CER"/>
    <x v="6"/>
    <m/>
    <m/>
  </r>
  <r>
    <s v="J18"/>
    <s v="BHB-CER"/>
    <x v="14"/>
    <n v="2"/>
    <m/>
  </r>
  <r>
    <s v="J18"/>
    <s v="BHB-CER"/>
    <x v="13"/>
    <m/>
    <m/>
  </r>
  <r>
    <s v="J18"/>
    <s v="BHB-CER"/>
    <x v="5"/>
    <n v="1"/>
    <m/>
  </r>
  <r>
    <s v="J18"/>
    <s v="BHB-CER"/>
    <x v="9"/>
    <m/>
    <m/>
  </r>
  <r>
    <s v="J18"/>
    <s v="BHB-CER"/>
    <x v="0"/>
    <m/>
    <m/>
  </r>
  <r>
    <s v="J18"/>
    <s v="BHB-CER"/>
    <x v="1"/>
    <n v="1"/>
    <m/>
  </r>
  <r>
    <s v="J18"/>
    <s v="BHB-CER"/>
    <x v="10"/>
    <m/>
    <m/>
  </r>
  <r>
    <s v="J18"/>
    <s v="BHB-CER"/>
    <x v="4"/>
    <m/>
    <m/>
  </r>
  <r>
    <s v="J18"/>
    <s v="BHB-CER"/>
    <x v="11"/>
    <m/>
    <m/>
  </r>
  <r>
    <s v="J18"/>
    <s v="BHB-CER"/>
    <x v="12"/>
    <m/>
    <m/>
  </r>
  <r>
    <s v="J17"/>
    <s v="ANN-BHB"/>
    <x v="3"/>
    <m/>
    <m/>
  </r>
  <r>
    <s v="J17"/>
    <s v="ANN-BHB"/>
    <x v="2"/>
    <m/>
    <m/>
  </r>
  <r>
    <s v="J17"/>
    <s v="ANN-BHB"/>
    <x v="8"/>
    <m/>
    <m/>
  </r>
  <r>
    <s v="J17"/>
    <s v="ANN-BHB"/>
    <x v="6"/>
    <m/>
    <m/>
  </r>
  <r>
    <s v="J17"/>
    <s v="ANN-BHB"/>
    <x v="14"/>
    <n v="1"/>
    <m/>
  </r>
  <r>
    <s v="J17"/>
    <s v="ANN-BHB"/>
    <x v="13"/>
    <m/>
    <m/>
  </r>
  <r>
    <s v="J17"/>
    <s v="ANN-BHB"/>
    <x v="5"/>
    <m/>
    <n v="1"/>
  </r>
  <r>
    <s v="J17"/>
    <s v="ANN-BHB"/>
    <x v="9"/>
    <n v="1"/>
    <n v="1"/>
  </r>
  <r>
    <s v="J17"/>
    <s v="ANN-BHB"/>
    <x v="0"/>
    <n v="1"/>
    <m/>
  </r>
  <r>
    <s v="J17"/>
    <s v="ANN-BHB"/>
    <x v="1"/>
    <m/>
    <m/>
  </r>
  <r>
    <s v="J17"/>
    <s v="ANN-BHB"/>
    <x v="10"/>
    <n v="1"/>
    <m/>
  </r>
  <r>
    <s v="J17"/>
    <s v="ANN-BHB"/>
    <x v="4"/>
    <m/>
    <m/>
  </r>
  <r>
    <s v="J17"/>
    <s v="ANN-BHB"/>
    <x v="11"/>
    <m/>
    <m/>
  </r>
  <r>
    <s v="J17"/>
    <s v="ANN-BHB"/>
    <x v="12"/>
    <m/>
    <m/>
  </r>
  <r>
    <s v="J16"/>
    <s v="BHB-BEL"/>
    <x v="3"/>
    <m/>
    <m/>
  </r>
  <r>
    <s v="J16"/>
    <s v="BHB-BEL"/>
    <x v="2"/>
    <m/>
    <m/>
  </r>
  <r>
    <s v="J16"/>
    <s v="BHB-BEL"/>
    <x v="8"/>
    <m/>
    <m/>
  </r>
  <r>
    <s v="J16"/>
    <s v="BHB-BEL"/>
    <x v="6"/>
    <m/>
    <m/>
  </r>
  <r>
    <s v="J16"/>
    <s v="BHB-BEL"/>
    <x v="14"/>
    <n v="1"/>
    <m/>
  </r>
  <r>
    <s v="J16"/>
    <s v="BHB-BEL"/>
    <x v="13"/>
    <m/>
    <m/>
  </r>
  <r>
    <s v="J16"/>
    <s v="BHB-BEL"/>
    <x v="5"/>
    <m/>
    <m/>
  </r>
  <r>
    <s v="J16"/>
    <s v="BHB-BEL"/>
    <x v="9"/>
    <m/>
    <m/>
  </r>
  <r>
    <s v="J16"/>
    <s v="BHB-BEL"/>
    <x v="0"/>
    <m/>
    <m/>
  </r>
  <r>
    <s v="J16"/>
    <s v="BHB-BEL"/>
    <x v="1"/>
    <m/>
    <m/>
  </r>
  <r>
    <s v="J16"/>
    <s v="BHB-BEL"/>
    <x v="7"/>
    <m/>
    <m/>
  </r>
  <r>
    <s v="J16"/>
    <s v="BHB-BEL"/>
    <x v="4"/>
    <m/>
    <m/>
  </r>
  <r>
    <s v="J16"/>
    <s v="BHB-BEL"/>
    <x v="11"/>
    <m/>
    <m/>
  </r>
  <r>
    <s v="J16"/>
    <s v="BHB-BEL"/>
    <x v="12"/>
    <m/>
    <m/>
  </r>
  <r>
    <s v="J15"/>
    <s v="IVR-BHB"/>
    <x v="3"/>
    <m/>
    <m/>
  </r>
  <r>
    <s v="J15"/>
    <s v="IVR-BHB"/>
    <x v="2"/>
    <m/>
    <m/>
  </r>
  <r>
    <s v="J15"/>
    <s v="IVR-BHB"/>
    <x v="8"/>
    <n v="2"/>
    <m/>
  </r>
  <r>
    <s v="J15"/>
    <s v="IVR-BHB"/>
    <x v="10"/>
    <m/>
    <m/>
  </r>
  <r>
    <s v="J15"/>
    <s v="IVR-BHB"/>
    <x v="14"/>
    <m/>
    <m/>
  </r>
  <r>
    <s v="J15"/>
    <s v="IVR-BHB"/>
    <x v="13"/>
    <m/>
    <m/>
  </r>
  <r>
    <s v="J15"/>
    <s v="IVR-BHB"/>
    <x v="5"/>
    <n v="1"/>
    <m/>
  </r>
  <r>
    <s v="J15"/>
    <s v="IVR-BHB"/>
    <x v="9"/>
    <m/>
    <m/>
  </r>
  <r>
    <s v="J15"/>
    <s v="IVR-BHB"/>
    <x v="0"/>
    <m/>
    <m/>
  </r>
  <r>
    <s v="J15"/>
    <s v="IVR-BHB"/>
    <x v="1"/>
    <m/>
    <m/>
  </r>
  <r>
    <s v="J15"/>
    <s v="IVR-BHB"/>
    <x v="7"/>
    <m/>
    <m/>
  </r>
  <r>
    <s v="J15"/>
    <s v="IVR-BHB"/>
    <x v="4"/>
    <m/>
    <m/>
  </r>
  <r>
    <s v="J15"/>
    <s v="IVR-BHB"/>
    <x v="11"/>
    <m/>
    <m/>
  </r>
  <r>
    <s v="J15"/>
    <s v="IVR-BHB"/>
    <x v="12"/>
    <m/>
    <m/>
  </r>
  <r>
    <s v="J14"/>
    <s v="BHB-SEL"/>
    <x v="7"/>
    <m/>
    <m/>
  </r>
  <r>
    <s v="J14"/>
    <s v="BHB-SEL"/>
    <x v="2"/>
    <m/>
    <m/>
  </r>
  <r>
    <s v="J14"/>
    <s v="BHB-SEL"/>
    <x v="8"/>
    <n v="1"/>
    <m/>
  </r>
  <r>
    <s v="J14"/>
    <s v="BHB-SEL"/>
    <x v="3"/>
    <m/>
    <m/>
  </r>
  <r>
    <s v="J14"/>
    <s v="BHB-SEL"/>
    <x v="14"/>
    <m/>
    <m/>
  </r>
  <r>
    <s v="J14"/>
    <s v="BHB-SEL"/>
    <x v="13"/>
    <m/>
    <m/>
  </r>
  <r>
    <s v="J14"/>
    <s v="BHB-SEL"/>
    <x v="5"/>
    <n v="1"/>
    <m/>
  </r>
  <r>
    <s v="J14"/>
    <s v="BHB-SEL"/>
    <x v="9"/>
    <m/>
    <m/>
  </r>
  <r>
    <s v="J14"/>
    <s v="BHB-SEL"/>
    <x v="0"/>
    <n v="2"/>
    <m/>
  </r>
  <r>
    <s v="J14"/>
    <s v="BHB-SEL"/>
    <x v="1"/>
    <m/>
    <m/>
  </r>
  <r>
    <s v="J14"/>
    <s v="BHB-SEL"/>
    <x v="10"/>
    <n v="1"/>
    <m/>
  </r>
  <r>
    <s v="J14"/>
    <s v="BHB-SEL"/>
    <x v="4"/>
    <m/>
    <m/>
  </r>
  <r>
    <s v="J14"/>
    <s v="BHB-SEL"/>
    <x v="11"/>
    <m/>
    <m/>
  </r>
  <r>
    <s v="J14"/>
    <s v="BHB-SEL"/>
    <x v="12"/>
    <m/>
    <m/>
  </r>
  <r>
    <s v="J13"/>
    <s v="BHB-CRE"/>
    <x v="7"/>
    <m/>
    <m/>
  </r>
  <r>
    <s v="J13"/>
    <s v="BHB-CRE"/>
    <x v="2"/>
    <m/>
    <m/>
  </r>
  <r>
    <s v="J13"/>
    <s v="BHB-CRE"/>
    <x v="8"/>
    <m/>
    <m/>
  </r>
  <r>
    <s v="J13"/>
    <s v="BHB-CRE"/>
    <x v="14"/>
    <n v="2"/>
    <m/>
  </r>
  <r>
    <s v="J13"/>
    <s v="BHB-CRE"/>
    <x v="13"/>
    <m/>
    <m/>
  </r>
  <r>
    <s v="J13"/>
    <s v="BHB-CRE"/>
    <x v="5"/>
    <m/>
    <m/>
  </r>
  <r>
    <s v="J13"/>
    <s v="BHB-CRE"/>
    <x v="9"/>
    <m/>
    <m/>
  </r>
  <r>
    <s v="J13"/>
    <s v="BHB-CRE"/>
    <x v="0"/>
    <m/>
    <m/>
  </r>
  <r>
    <s v="J13"/>
    <s v="BHB-CRE"/>
    <x v="1"/>
    <m/>
    <m/>
  </r>
  <r>
    <s v="J13"/>
    <s v="BHB-CRE"/>
    <x v="10"/>
    <m/>
    <m/>
  </r>
  <r>
    <s v="J13"/>
    <s v="BHB-CRE"/>
    <x v="11"/>
    <m/>
    <m/>
  </r>
  <r>
    <s v="J13"/>
    <s v="BHB-CRE"/>
    <x v="3"/>
    <m/>
    <m/>
  </r>
  <r>
    <s v="J13"/>
    <s v="BHB-CRE"/>
    <x v="12"/>
    <m/>
    <m/>
  </r>
  <r>
    <s v="J13"/>
    <s v="BHB-CRE"/>
    <x v="16"/>
    <n v="1"/>
    <m/>
  </r>
  <r>
    <s v="J12"/>
    <s v="CHA-BHB"/>
    <x v="7"/>
    <m/>
    <m/>
  </r>
  <r>
    <s v="J12"/>
    <s v="CHA-BHB"/>
    <x v="2"/>
    <m/>
    <m/>
  </r>
  <r>
    <s v="J12"/>
    <s v="CHA-BHB"/>
    <x v="8"/>
    <m/>
    <m/>
  </r>
  <r>
    <s v="J12"/>
    <s v="CHA-BHB"/>
    <x v="14"/>
    <n v="1"/>
    <m/>
  </r>
  <r>
    <s v="J12"/>
    <s v="CHA-BHB"/>
    <x v="13"/>
    <m/>
    <m/>
  </r>
  <r>
    <s v="J12"/>
    <s v="CHA-BHB"/>
    <x v="5"/>
    <n v="1"/>
    <m/>
  </r>
  <r>
    <s v="J12"/>
    <s v="CHA-BHB"/>
    <x v="9"/>
    <m/>
    <m/>
  </r>
  <r>
    <s v="J12"/>
    <s v="CHA-BHB"/>
    <x v="0"/>
    <m/>
    <m/>
  </r>
  <r>
    <s v="J12"/>
    <s v="CHA-BHB"/>
    <x v="1"/>
    <m/>
    <m/>
  </r>
  <r>
    <s v="J12"/>
    <s v="CHA-BHB"/>
    <x v="10"/>
    <n v="3"/>
    <m/>
  </r>
  <r>
    <s v="J12"/>
    <s v="CHA-BHB"/>
    <x v="6"/>
    <m/>
    <m/>
  </r>
  <r>
    <s v="J12"/>
    <s v="CHA-BHB"/>
    <x v="3"/>
    <m/>
    <m/>
  </r>
  <r>
    <s v="J12"/>
    <s v="CHA-BHB"/>
    <x v="12"/>
    <m/>
    <m/>
  </r>
  <r>
    <s v="J12"/>
    <s v="CHA-BHB"/>
    <x v="16"/>
    <m/>
    <m/>
  </r>
  <r>
    <s v="J11"/>
    <s v="MET-BHB"/>
    <x v="7"/>
    <m/>
    <m/>
  </r>
  <r>
    <s v="J11"/>
    <s v="MET-BHB"/>
    <x v="11"/>
    <n v="2"/>
    <m/>
  </r>
  <r>
    <s v="J11"/>
    <s v="MET-BHB"/>
    <x v="8"/>
    <m/>
    <m/>
  </r>
  <r>
    <s v="J11"/>
    <s v="MET-BHB"/>
    <x v="14"/>
    <n v="1"/>
    <m/>
  </r>
  <r>
    <s v="J11"/>
    <s v="MET-BHB"/>
    <x v="13"/>
    <m/>
    <m/>
  </r>
  <r>
    <s v="J11"/>
    <s v="MET-BHB"/>
    <x v="5"/>
    <n v="2"/>
    <m/>
  </r>
  <r>
    <s v="J11"/>
    <s v="MET-BHB"/>
    <x v="17"/>
    <m/>
    <m/>
  </r>
  <r>
    <s v="J11"/>
    <s v="MET-BHB"/>
    <x v="0"/>
    <m/>
    <n v="1"/>
  </r>
  <r>
    <s v="J11"/>
    <s v="MET-BHB"/>
    <x v="1"/>
    <m/>
    <m/>
  </r>
  <r>
    <s v="J11"/>
    <s v="MET-BHB"/>
    <x v="10"/>
    <m/>
    <m/>
  </r>
  <r>
    <s v="J11"/>
    <s v="MET-BHB"/>
    <x v="6"/>
    <m/>
    <m/>
  </r>
  <r>
    <s v="J11"/>
    <s v="MET-BHB"/>
    <x v="3"/>
    <m/>
    <m/>
  </r>
  <r>
    <s v="J11"/>
    <s v="MET-BHB"/>
    <x v="12"/>
    <m/>
    <m/>
  </r>
  <r>
    <s v="J11"/>
    <s v="MET-BHB"/>
    <x v="4"/>
    <n v="1"/>
    <m/>
  </r>
  <r>
    <s v="J10"/>
    <s v="BHB-STB"/>
    <x v="7"/>
    <m/>
    <m/>
  </r>
  <r>
    <s v="J10"/>
    <s v="BHB-STB"/>
    <x v="11"/>
    <m/>
    <m/>
  </r>
  <r>
    <s v="J10"/>
    <s v="BHB-STB"/>
    <x v="8"/>
    <n v="1"/>
    <m/>
  </r>
  <r>
    <s v="J10"/>
    <s v="BHB-STB"/>
    <x v="14"/>
    <n v="2"/>
    <m/>
  </r>
  <r>
    <s v="J10"/>
    <s v="BHB-STB"/>
    <x v="13"/>
    <m/>
    <m/>
  </r>
  <r>
    <s v="J10"/>
    <s v="BHB-STB"/>
    <x v="5"/>
    <m/>
    <m/>
  </r>
  <r>
    <s v="J10"/>
    <s v="BHB-STB"/>
    <x v="17"/>
    <m/>
    <m/>
  </r>
  <r>
    <s v="J10"/>
    <s v="BHB-STB"/>
    <x v="0"/>
    <n v="2"/>
    <m/>
  </r>
  <r>
    <s v="J10"/>
    <s v="BHB-STB"/>
    <x v="1"/>
    <m/>
    <m/>
  </r>
  <r>
    <s v="J10"/>
    <s v="BHB-STB"/>
    <x v="10"/>
    <m/>
    <m/>
  </r>
  <r>
    <s v="J10"/>
    <s v="BHB-STB"/>
    <x v="2"/>
    <m/>
    <m/>
  </r>
  <r>
    <s v="J10"/>
    <s v="BHB-STB"/>
    <x v="3"/>
    <m/>
    <m/>
  </r>
  <r>
    <s v="J10"/>
    <s v="BHB-STB"/>
    <x v="12"/>
    <m/>
    <m/>
  </r>
  <r>
    <s v="J10"/>
    <s v="BHB-STB"/>
    <x v="4"/>
    <m/>
    <m/>
  </r>
  <r>
    <s v="J9"/>
    <s v="ACS-BHB"/>
    <x v="7"/>
    <m/>
    <m/>
  </r>
  <r>
    <s v="J9"/>
    <s v="ACS-BHB"/>
    <x v="11"/>
    <n v="1"/>
    <m/>
  </r>
  <r>
    <s v="J9"/>
    <s v="ACS-BHB"/>
    <x v="8"/>
    <m/>
    <m/>
  </r>
  <r>
    <s v="J9"/>
    <s v="ACS-BHB"/>
    <x v="14"/>
    <m/>
    <m/>
  </r>
  <r>
    <s v="J9"/>
    <s v="ACS-BHB"/>
    <x v="13"/>
    <m/>
    <m/>
  </r>
  <r>
    <s v="J9"/>
    <s v="ACS-BHB"/>
    <x v="5"/>
    <m/>
    <m/>
  </r>
  <r>
    <s v="J9"/>
    <s v="ACS-BHB"/>
    <x v="17"/>
    <n v="1"/>
    <m/>
  </r>
  <r>
    <s v="J9"/>
    <s v="ACS-BHB"/>
    <x v="0"/>
    <n v="1"/>
    <m/>
  </r>
  <r>
    <s v="J9"/>
    <s v="ACS-BHB"/>
    <x v="1"/>
    <m/>
    <m/>
  </r>
  <r>
    <s v="J9"/>
    <s v="ACS-BHB"/>
    <x v="2"/>
    <m/>
    <m/>
  </r>
  <r>
    <s v="J9"/>
    <s v="ACS-BHB"/>
    <x v="3"/>
    <m/>
    <m/>
  </r>
  <r>
    <s v="J9"/>
    <s v="ACS-BHB"/>
    <x v="12"/>
    <m/>
    <m/>
  </r>
  <r>
    <s v="J9"/>
    <s v="ACS-BHB"/>
    <x v="4"/>
    <m/>
    <m/>
  </r>
  <r>
    <s v="J8"/>
    <s v="TOR-BHB"/>
    <x v="7"/>
    <m/>
    <m/>
  </r>
  <r>
    <s v="J8"/>
    <s v="TOR-BHB"/>
    <x v="11"/>
    <m/>
    <m/>
  </r>
  <r>
    <s v="J8"/>
    <s v="TOR-BHB"/>
    <x v="8"/>
    <m/>
    <m/>
  </r>
  <r>
    <s v="J8"/>
    <s v="TOR-BHB"/>
    <x v="14"/>
    <n v="2"/>
    <m/>
  </r>
  <r>
    <s v="J8"/>
    <s v="TOR-BHB"/>
    <x v="13"/>
    <m/>
    <m/>
  </r>
  <r>
    <s v="J8"/>
    <s v="TOR-BHB"/>
    <x v="5"/>
    <n v="1"/>
    <m/>
  </r>
  <r>
    <s v="J8"/>
    <s v="TOR-BHB"/>
    <x v="17"/>
    <m/>
    <m/>
  </r>
  <r>
    <s v="J8"/>
    <s v="TOR-BHB"/>
    <x v="0"/>
    <m/>
    <m/>
  </r>
  <r>
    <s v="J8"/>
    <s v="TOR-BHB"/>
    <x v="1"/>
    <n v="2"/>
    <m/>
  </r>
  <r>
    <s v="J8"/>
    <s v="TOR-BHB"/>
    <x v="10"/>
    <n v="1"/>
    <m/>
  </r>
  <r>
    <s v="J8"/>
    <s v="TOR-BHB"/>
    <x v="2"/>
    <m/>
    <m/>
  </r>
  <r>
    <s v="J8"/>
    <s v="TOR-BHB"/>
    <x v="6"/>
    <m/>
    <m/>
  </r>
  <r>
    <s v="J8"/>
    <s v="TOR-BHB"/>
    <x v="12"/>
    <m/>
    <m/>
  </r>
  <r>
    <s v="J7"/>
    <s v="CER-BHB"/>
    <x v="7"/>
    <m/>
    <m/>
  </r>
  <r>
    <s v="J7"/>
    <s v="CER-BHB"/>
    <x v="11"/>
    <m/>
    <m/>
  </r>
  <r>
    <s v="J7"/>
    <s v="CER-BHB"/>
    <x v="8"/>
    <m/>
    <m/>
  </r>
  <r>
    <s v="J7"/>
    <s v="CER-BHB"/>
    <x v="14"/>
    <n v="1"/>
    <m/>
  </r>
  <r>
    <s v="J7"/>
    <s v="CER-BHB"/>
    <x v="13"/>
    <m/>
    <m/>
  </r>
  <r>
    <s v="J7"/>
    <s v="CER-BHB"/>
    <x v="5"/>
    <n v="1"/>
    <m/>
  </r>
  <r>
    <s v="J7"/>
    <s v="CER-BHB"/>
    <x v="17"/>
    <m/>
    <m/>
  </r>
  <r>
    <s v="J7"/>
    <s v="CER-BHB"/>
    <x v="0"/>
    <m/>
    <m/>
  </r>
  <r>
    <s v="J7"/>
    <s v="CER-BHB"/>
    <x v="1"/>
    <m/>
    <m/>
  </r>
  <r>
    <s v="J7"/>
    <s v="CER-BHB"/>
    <x v="2"/>
    <m/>
    <m/>
  </r>
  <r>
    <s v="J7"/>
    <s v="CER-BHB"/>
    <x v="3"/>
    <m/>
    <m/>
  </r>
  <r>
    <s v="J7"/>
    <s v="CER-BHB"/>
    <x v="12"/>
    <m/>
    <m/>
  </r>
  <r>
    <s v="J7"/>
    <s v="CER-BHB"/>
    <x v="10"/>
    <m/>
    <m/>
  </r>
  <r>
    <s v="J6"/>
    <s v="BHB-ANN"/>
    <x v="7"/>
    <m/>
    <m/>
  </r>
  <r>
    <s v="J6"/>
    <s v="BHB-ANN"/>
    <x v="2"/>
    <m/>
    <m/>
  </r>
  <r>
    <s v="J6"/>
    <s v="BHB-ANN"/>
    <x v="8"/>
    <n v="1"/>
    <m/>
  </r>
  <r>
    <s v="J6"/>
    <s v="BHB-ANN"/>
    <x v="14"/>
    <n v="1"/>
    <m/>
  </r>
  <r>
    <s v="J6"/>
    <s v="BHB-ANN"/>
    <x v="13"/>
    <m/>
    <m/>
  </r>
  <r>
    <s v="J6"/>
    <s v="BHB-ANN"/>
    <x v="5"/>
    <m/>
    <m/>
  </r>
  <r>
    <s v="J6"/>
    <s v="BHB-ANN"/>
    <x v="9"/>
    <n v="1"/>
    <m/>
  </r>
  <r>
    <s v="J6"/>
    <s v="BHB-ANN"/>
    <x v="0"/>
    <n v="1"/>
    <m/>
  </r>
  <r>
    <s v="J6"/>
    <s v="BHB-ANN"/>
    <x v="1"/>
    <m/>
    <m/>
  </r>
  <r>
    <s v="J6"/>
    <s v="BHB-ANN"/>
    <x v="10"/>
    <n v="1"/>
    <m/>
  </r>
  <r>
    <s v="J6"/>
    <s v="BHB-ANN"/>
    <x v="17"/>
    <m/>
    <m/>
  </r>
  <r>
    <s v="J6"/>
    <s v="BHB-ANN"/>
    <x v="11"/>
    <m/>
    <m/>
  </r>
  <r>
    <s v="J6"/>
    <s v="BHB-ANN"/>
    <x v="12"/>
    <m/>
    <m/>
  </r>
  <r>
    <s v="J6"/>
    <s v="BHB-ANN"/>
    <x v="3"/>
    <m/>
    <m/>
  </r>
  <r>
    <s v="J5"/>
    <s v="BEL-BHB"/>
    <x v="7"/>
    <m/>
    <m/>
  </r>
  <r>
    <s v="J5"/>
    <s v="BEL-BHB"/>
    <x v="2"/>
    <m/>
    <m/>
  </r>
  <r>
    <s v="J5"/>
    <s v="BEL-BHB"/>
    <x v="8"/>
    <n v="1"/>
    <m/>
  </r>
  <r>
    <s v="J5"/>
    <s v="BEL-BHB"/>
    <x v="14"/>
    <n v="3"/>
    <m/>
  </r>
  <r>
    <s v="J5"/>
    <s v="BEL-BHB"/>
    <x v="13"/>
    <m/>
    <m/>
  </r>
  <r>
    <s v="J5"/>
    <s v="BEL-BHB"/>
    <x v="5"/>
    <n v="1"/>
    <m/>
  </r>
  <r>
    <s v="J5"/>
    <s v="BEL-BHB"/>
    <x v="9"/>
    <m/>
    <m/>
  </r>
  <r>
    <s v="J5"/>
    <s v="BEL-BHB"/>
    <x v="0"/>
    <n v="1"/>
    <m/>
  </r>
  <r>
    <s v="J5"/>
    <s v="BEL-BHB"/>
    <x v="1"/>
    <m/>
    <m/>
  </r>
  <r>
    <s v="J5"/>
    <s v="BEL-BHB"/>
    <x v="10"/>
    <m/>
    <m/>
  </r>
  <r>
    <s v="J5"/>
    <s v="BEL-BHB"/>
    <x v="16"/>
    <m/>
    <m/>
  </r>
  <r>
    <s v="J5"/>
    <s v="BEL-BHB"/>
    <x v="11"/>
    <m/>
    <m/>
  </r>
  <r>
    <s v="J5"/>
    <s v="BEL-BHB"/>
    <x v="12"/>
    <m/>
    <m/>
  </r>
  <r>
    <s v="J5"/>
    <s v="BEL-BHB"/>
    <x v="3"/>
    <m/>
    <m/>
  </r>
  <r>
    <s v="J4"/>
    <s v="BHB-IVR"/>
    <x v="7"/>
    <m/>
    <m/>
  </r>
  <r>
    <s v="J4"/>
    <s v="BHB-IVR"/>
    <x v="2"/>
    <m/>
    <m/>
  </r>
  <r>
    <s v="J4"/>
    <s v="BHB-IVR"/>
    <x v="8"/>
    <n v="1"/>
    <m/>
  </r>
  <r>
    <s v="J4"/>
    <s v="BHB-IVR"/>
    <x v="14"/>
    <m/>
    <m/>
  </r>
  <r>
    <s v="J4"/>
    <s v="BHB-IVR"/>
    <x v="13"/>
    <m/>
    <m/>
  </r>
  <r>
    <s v="J4"/>
    <s v="BHB-IVR"/>
    <x v="5"/>
    <n v="1"/>
    <m/>
  </r>
  <r>
    <s v="J4"/>
    <s v="BHB-IVR"/>
    <x v="9"/>
    <m/>
    <m/>
  </r>
  <r>
    <s v="J4"/>
    <s v="BHB-IVR"/>
    <x v="0"/>
    <m/>
    <m/>
  </r>
  <r>
    <s v="J4"/>
    <s v="BHB-IVR"/>
    <x v="1"/>
    <m/>
    <m/>
  </r>
  <r>
    <s v="J4"/>
    <s v="BHB-IVR"/>
    <x v="10"/>
    <m/>
    <m/>
  </r>
  <r>
    <s v="J4"/>
    <s v="BHB-IVR"/>
    <x v="17"/>
    <m/>
    <m/>
  </r>
  <r>
    <s v="J4"/>
    <s v="BHB-IVR"/>
    <x v="11"/>
    <m/>
    <m/>
  </r>
  <r>
    <s v="J4"/>
    <s v="BHB-IVR"/>
    <x v="12"/>
    <m/>
    <m/>
  </r>
  <r>
    <s v="J4"/>
    <s v="BHB-IVR"/>
    <x v="3"/>
    <m/>
    <m/>
  </r>
  <r>
    <s v="J3"/>
    <s v="SEL-BHB"/>
    <x v="2"/>
    <m/>
    <m/>
  </r>
  <r>
    <s v="J3"/>
    <s v="SEL-BHB"/>
    <x v="8"/>
    <m/>
    <m/>
  </r>
  <r>
    <s v="J3"/>
    <s v="SEL-BHB"/>
    <x v="14"/>
    <m/>
    <m/>
  </r>
  <r>
    <s v="J3"/>
    <s v="SEL-BHB"/>
    <x v="13"/>
    <m/>
    <m/>
  </r>
  <r>
    <s v="J3"/>
    <s v="SEL-BHB"/>
    <x v="5"/>
    <n v="2"/>
    <m/>
  </r>
  <r>
    <s v="J3"/>
    <s v="SEL-BHB"/>
    <x v="9"/>
    <m/>
    <m/>
  </r>
  <r>
    <s v="J3"/>
    <s v="SEL-BHB"/>
    <x v="0"/>
    <m/>
    <m/>
  </r>
  <r>
    <s v="J3"/>
    <s v="SEL-BHB"/>
    <x v="1"/>
    <m/>
    <m/>
  </r>
  <r>
    <s v="J3"/>
    <s v="SEL-BHB"/>
    <x v="10"/>
    <m/>
    <m/>
  </r>
  <r>
    <s v="J3"/>
    <s v="SEL-BHB"/>
    <x v="17"/>
    <m/>
    <m/>
  </r>
  <r>
    <s v="J3"/>
    <s v="SEL-BHB"/>
    <x v="11"/>
    <m/>
    <m/>
  </r>
  <r>
    <s v="J3"/>
    <s v="SEL-BHB"/>
    <x v="12"/>
    <m/>
    <m/>
  </r>
  <r>
    <s v="J3"/>
    <s v="SEL-BHB"/>
    <x v="6"/>
    <m/>
    <m/>
  </r>
  <r>
    <s v="J2"/>
    <s v="CRE-BHB"/>
    <x v="2"/>
    <m/>
    <m/>
  </r>
  <r>
    <s v="J2"/>
    <s v="CRE-BHB"/>
    <x v="8"/>
    <n v="1"/>
    <m/>
  </r>
  <r>
    <s v="J2"/>
    <s v="CRE-BHB"/>
    <x v="16"/>
    <m/>
    <m/>
  </r>
  <r>
    <s v="J2"/>
    <s v="CRE-BHB"/>
    <x v="13"/>
    <m/>
    <m/>
  </r>
  <r>
    <s v="J2"/>
    <s v="CRE-BHB"/>
    <x v="5"/>
    <m/>
    <m/>
  </r>
  <r>
    <s v="J2"/>
    <s v="CRE-BHB"/>
    <x v="9"/>
    <n v="2"/>
    <m/>
  </r>
  <r>
    <s v="J2"/>
    <s v="CRE-BHB"/>
    <x v="0"/>
    <n v="1"/>
    <m/>
  </r>
  <r>
    <s v="J2"/>
    <s v="CRE-BHB"/>
    <x v="1"/>
    <n v="1"/>
    <m/>
  </r>
  <r>
    <s v="J2"/>
    <s v="CRE-BHB"/>
    <x v="10"/>
    <m/>
    <m/>
  </r>
  <r>
    <s v="J2"/>
    <s v="CRE-BHB"/>
    <x v="17"/>
    <m/>
    <m/>
  </r>
  <r>
    <s v="J2"/>
    <s v="CRE-BHB"/>
    <x v="11"/>
    <m/>
    <m/>
  </r>
  <r>
    <s v="J2"/>
    <s v="CRE-BHB"/>
    <x v="12"/>
    <m/>
    <m/>
  </r>
  <r>
    <s v="J2"/>
    <s v="CRE-BHB"/>
    <x v="6"/>
    <m/>
    <m/>
  </r>
  <r>
    <s v="J1"/>
    <s v="BHB-CHA"/>
    <x v="2"/>
    <n v="1"/>
    <m/>
  </r>
  <r>
    <s v="J1"/>
    <s v="BHB-CHA"/>
    <x v="8"/>
    <m/>
    <m/>
  </r>
  <r>
    <s v="J1"/>
    <s v="BHB-CHA"/>
    <x v="16"/>
    <n v="1"/>
    <m/>
  </r>
  <r>
    <s v="J1"/>
    <s v="BHB-CHA"/>
    <x v="13"/>
    <m/>
    <m/>
  </r>
  <r>
    <s v="J1"/>
    <s v="BHB-CHA"/>
    <x v="5"/>
    <m/>
    <m/>
  </r>
  <r>
    <s v="J1"/>
    <s v="BHB-CHA"/>
    <x v="9"/>
    <n v="1"/>
    <m/>
  </r>
  <r>
    <s v="J1"/>
    <s v="BHB-CHA"/>
    <x v="0"/>
    <n v="2"/>
    <m/>
  </r>
  <r>
    <s v="J1"/>
    <s v="BHB-CHA"/>
    <x v="1"/>
    <m/>
    <m/>
  </r>
  <r>
    <s v="J1"/>
    <s v="BHB-CHA"/>
    <x v="10"/>
    <m/>
    <m/>
  </r>
  <r>
    <s v="J1"/>
    <s v="BHB-CHA"/>
    <x v="17"/>
    <m/>
    <m/>
  </r>
  <r>
    <s v="J1"/>
    <s v="BHB-CHA"/>
    <x v="11"/>
    <m/>
    <m/>
  </r>
  <r>
    <s v="J1"/>
    <s v="BHB-CHA"/>
    <x v="12"/>
    <m/>
    <m/>
  </r>
  <r>
    <s v="J1"/>
    <s v="BHB-CHA"/>
    <x v="6"/>
    <n v="1"/>
    <m/>
  </r>
  <r>
    <s v="J1"/>
    <s v="BHB-CHA"/>
    <x v="7"/>
    <m/>
    <m/>
  </r>
  <r>
    <m/>
    <m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8DBAF-01F0-4AEF-9A52-CD2C691FFA94}" name="Tableau croisé dynamique15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3:C24" firstHeaderRow="1" firstDataRow="2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19"/>
        <item x="8"/>
        <item x="15"/>
        <item x="12"/>
        <item x="16"/>
        <item x="7"/>
        <item x="9"/>
        <item x="0"/>
        <item x="4"/>
        <item x="14"/>
        <item x="5"/>
        <item x="1"/>
        <item x="10"/>
        <item x="17"/>
        <item x="3"/>
        <item x="11"/>
        <item x="6"/>
        <item x="2"/>
        <item x="13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2"/>
  </colFields>
  <colItems count="2">
    <i>
      <x/>
    </i>
    <i>
      <x v="1"/>
    </i>
  </colItems>
  <dataFields count="1">
    <dataField name="Somme de Arrêt 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3979C-CBB2-4B28-9378-7A0147F06D9F}" name="Tableau croisé dynamique1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23" firstHeaderRow="0" firstDataRow="1" firstDataCol="1"/>
  <pivotFields count="5">
    <pivotField dataField="1" showAll="0"/>
    <pivotField showAll="0"/>
    <pivotField axis="axisRow" showAll="0">
      <items count="20">
        <item x="6"/>
        <item x="12"/>
        <item x="16"/>
        <item x="7"/>
        <item x="13"/>
        <item x="8"/>
        <item x="0"/>
        <item x="17"/>
        <item x="9"/>
        <item x="2"/>
        <item x="1"/>
        <item x="10"/>
        <item x="14"/>
        <item x="15"/>
        <item x="3"/>
        <item x="4"/>
        <item x="5"/>
        <item x="11"/>
        <item x="18"/>
        <item t="default"/>
      </items>
    </pivotField>
    <pivotField dataField="1" showAll="0"/>
    <pivotField dataField="1"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Journée" fld="0" subtotal="count" baseField="0" baseItem="0"/>
    <dataField name="Somme de 2mn" fld="3" baseField="0" baseItem="0"/>
    <dataField name="Somme de Di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FB5C-8903-46DA-8B1F-568D14B210F1}">
  <dimension ref="A3:C24"/>
  <sheetViews>
    <sheetView workbookViewId="0">
      <selection activeCell="A25" sqref="A25"/>
    </sheetView>
  </sheetViews>
  <sheetFormatPr baseColWidth="10" defaultRowHeight="14.25" x14ac:dyDescent="0.45"/>
  <cols>
    <col min="1" max="1" width="14.59765625" bestFit="1" customWidth="1"/>
    <col min="2" max="2" width="14.9296875" bestFit="1" customWidth="1"/>
    <col min="3" max="3" width="11.3984375" bestFit="1" customWidth="1"/>
  </cols>
  <sheetData>
    <row r="3" spans="1:3" x14ac:dyDescent="0.45">
      <c r="A3" s="4" t="s">
        <v>98</v>
      </c>
      <c r="B3" s="4" t="s">
        <v>1</v>
      </c>
    </row>
    <row r="4" spans="1:3" x14ac:dyDescent="0.45">
      <c r="A4" s="4" t="s">
        <v>0</v>
      </c>
      <c r="B4" t="s">
        <v>72</v>
      </c>
      <c r="C4" t="s">
        <v>71</v>
      </c>
    </row>
    <row r="5" spans="1:3" x14ac:dyDescent="0.45">
      <c r="A5" t="s">
        <v>3</v>
      </c>
      <c r="B5">
        <v>7</v>
      </c>
      <c r="C5">
        <v>3</v>
      </c>
    </row>
    <row r="6" spans="1:3" x14ac:dyDescent="0.45">
      <c r="A6" t="s">
        <v>4</v>
      </c>
      <c r="B6">
        <v>5</v>
      </c>
      <c r="C6">
        <v>7</v>
      </c>
    </row>
    <row r="7" spans="1:3" x14ac:dyDescent="0.45">
      <c r="A7" t="s">
        <v>5</v>
      </c>
      <c r="B7">
        <v>4</v>
      </c>
      <c r="C7">
        <v>5</v>
      </c>
    </row>
    <row r="8" spans="1:3" x14ac:dyDescent="0.45">
      <c r="A8" t="s">
        <v>16</v>
      </c>
      <c r="B8">
        <v>3</v>
      </c>
      <c r="C8">
        <v>9</v>
      </c>
    </row>
    <row r="9" spans="1:3" x14ac:dyDescent="0.45">
      <c r="A9" t="s">
        <v>6</v>
      </c>
      <c r="B9">
        <v>0</v>
      </c>
      <c r="C9">
        <v>13</v>
      </c>
    </row>
    <row r="10" spans="1:3" x14ac:dyDescent="0.45">
      <c r="A10" t="s">
        <v>39</v>
      </c>
      <c r="B10">
        <v>6</v>
      </c>
      <c r="C10">
        <v>5</v>
      </c>
    </row>
    <row r="11" spans="1:3" x14ac:dyDescent="0.45">
      <c r="A11" t="s">
        <v>7</v>
      </c>
      <c r="B11">
        <v>4</v>
      </c>
      <c r="C11">
        <v>6</v>
      </c>
    </row>
    <row r="12" spans="1:3" x14ac:dyDescent="0.45">
      <c r="A12" t="s">
        <v>8</v>
      </c>
      <c r="B12">
        <v>0</v>
      </c>
      <c r="C12">
        <v>9</v>
      </c>
    </row>
    <row r="13" spans="1:3" x14ac:dyDescent="0.45">
      <c r="A13" t="s">
        <v>23</v>
      </c>
      <c r="B13">
        <v>2</v>
      </c>
      <c r="C13">
        <v>7</v>
      </c>
    </row>
    <row r="14" spans="1:3" x14ac:dyDescent="0.45">
      <c r="A14" t="s">
        <v>25</v>
      </c>
      <c r="B14">
        <v>0</v>
      </c>
      <c r="C14">
        <v>11</v>
      </c>
    </row>
    <row r="15" spans="1:3" x14ac:dyDescent="0.45">
      <c r="A15" t="s">
        <v>9</v>
      </c>
      <c r="B15">
        <v>0</v>
      </c>
      <c r="C15">
        <v>8</v>
      </c>
    </row>
    <row r="16" spans="1:3" x14ac:dyDescent="0.45">
      <c r="A16" t="s">
        <v>10</v>
      </c>
      <c r="B16">
        <v>0</v>
      </c>
      <c r="C16">
        <v>11</v>
      </c>
    </row>
    <row r="17" spans="1:3" x14ac:dyDescent="0.45">
      <c r="A17" t="s">
        <v>11</v>
      </c>
      <c r="B17">
        <v>7</v>
      </c>
      <c r="C17">
        <v>7</v>
      </c>
    </row>
    <row r="18" spans="1:3" x14ac:dyDescent="0.45">
      <c r="A18" t="s">
        <v>28</v>
      </c>
      <c r="B18">
        <v>0</v>
      </c>
      <c r="C18">
        <v>13</v>
      </c>
    </row>
    <row r="19" spans="1:3" x14ac:dyDescent="0.45">
      <c r="A19" t="s">
        <v>30</v>
      </c>
      <c r="B19">
        <v>2</v>
      </c>
      <c r="C19">
        <v>8</v>
      </c>
    </row>
    <row r="20" spans="1:3" x14ac:dyDescent="0.45">
      <c r="A20" t="s">
        <v>32</v>
      </c>
      <c r="B20">
        <v>0</v>
      </c>
      <c r="C20">
        <v>15</v>
      </c>
    </row>
    <row r="21" spans="1:3" x14ac:dyDescent="0.45">
      <c r="A21" t="s">
        <v>12</v>
      </c>
      <c r="B21">
        <v>4</v>
      </c>
      <c r="C21">
        <v>6</v>
      </c>
    </row>
    <row r="22" spans="1:3" x14ac:dyDescent="0.45">
      <c r="A22" t="s">
        <v>13</v>
      </c>
      <c r="B22">
        <v>12</v>
      </c>
      <c r="C22">
        <v>0</v>
      </c>
    </row>
    <row r="23" spans="1:3" x14ac:dyDescent="0.45">
      <c r="A23" t="s">
        <v>14</v>
      </c>
      <c r="B23">
        <v>4</v>
      </c>
      <c r="C23">
        <v>5</v>
      </c>
    </row>
    <row r="24" spans="1:3" x14ac:dyDescent="0.45">
      <c r="A24" t="s">
        <v>15</v>
      </c>
      <c r="B24">
        <v>5</v>
      </c>
      <c r="C24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517A-FB1E-4044-A2BC-8DE28C5953BA}">
  <dimension ref="A1:F194"/>
  <sheetViews>
    <sheetView workbookViewId="0">
      <pane ySplit="1" topLeftCell="A175" activePane="bottomLeft" state="frozen"/>
      <selection pane="bottomLeft" activeCell="H191" sqref="H191"/>
    </sheetView>
  </sheetViews>
  <sheetFormatPr baseColWidth="10" defaultColWidth="9.06640625" defaultRowHeight="14.25" x14ac:dyDescent="0.45"/>
  <cols>
    <col min="1" max="1" width="12" customWidth="1"/>
    <col min="2" max="2" width="16" customWidth="1"/>
    <col min="3" max="3" width="10" customWidth="1"/>
    <col min="4" max="4" width="22" customWidth="1"/>
    <col min="5" max="6" width="10" customWidth="1"/>
  </cols>
  <sheetData>
    <row r="1" spans="1:6" ht="22.05" customHeight="1" x14ac:dyDescent="0.45">
      <c r="A1" s="15" t="s">
        <v>17</v>
      </c>
      <c r="B1" s="15" t="s">
        <v>0</v>
      </c>
      <c r="C1" s="15" t="s">
        <v>76</v>
      </c>
      <c r="D1" s="15" t="s">
        <v>77</v>
      </c>
      <c r="E1" s="15" t="s">
        <v>112</v>
      </c>
      <c r="F1" s="15" t="s">
        <v>111</v>
      </c>
    </row>
    <row r="2" spans="1:6" x14ac:dyDescent="0.45">
      <c r="A2" s="11" t="s">
        <v>21</v>
      </c>
      <c r="B2" s="12" t="s">
        <v>8</v>
      </c>
      <c r="C2" s="11">
        <v>2</v>
      </c>
      <c r="D2" s="12" t="s">
        <v>78</v>
      </c>
      <c r="E2" s="11">
        <v>12</v>
      </c>
      <c r="F2" s="11">
        <v>8</v>
      </c>
    </row>
    <row r="3" spans="1:6" x14ac:dyDescent="0.45">
      <c r="A3" s="13" t="s">
        <v>21</v>
      </c>
      <c r="B3" s="14" t="s">
        <v>8</v>
      </c>
      <c r="C3" s="13">
        <v>3</v>
      </c>
      <c r="D3" s="14" t="s">
        <v>79</v>
      </c>
      <c r="E3" s="13">
        <v>6</v>
      </c>
      <c r="F3" s="13">
        <v>5</v>
      </c>
    </row>
    <row r="4" spans="1:6" x14ac:dyDescent="0.45">
      <c r="A4" s="11" t="s">
        <v>21</v>
      </c>
      <c r="B4" s="12" t="s">
        <v>8</v>
      </c>
      <c r="C4" s="11">
        <v>9</v>
      </c>
      <c r="D4" s="12" t="s">
        <v>83</v>
      </c>
      <c r="E4" s="11">
        <v>10</v>
      </c>
      <c r="F4" s="11">
        <v>6</v>
      </c>
    </row>
    <row r="5" spans="1:6" x14ac:dyDescent="0.45">
      <c r="A5" s="13" t="s">
        <v>21</v>
      </c>
      <c r="B5" s="14" t="s">
        <v>8</v>
      </c>
      <c r="C5" s="13">
        <v>13</v>
      </c>
      <c r="D5" s="14" t="s">
        <v>86</v>
      </c>
      <c r="E5" s="13">
        <v>8</v>
      </c>
      <c r="F5" s="13">
        <v>5</v>
      </c>
    </row>
    <row r="6" spans="1:6" x14ac:dyDescent="0.45">
      <c r="A6" s="11" t="s">
        <v>21</v>
      </c>
      <c r="B6" s="12" t="s">
        <v>8</v>
      </c>
      <c r="C6" s="11">
        <v>19</v>
      </c>
      <c r="D6" s="12" t="s">
        <v>89</v>
      </c>
      <c r="E6" s="11">
        <v>1</v>
      </c>
      <c r="F6" s="11">
        <v>1</v>
      </c>
    </row>
    <row r="7" spans="1:6" x14ac:dyDescent="0.45">
      <c r="A7" s="13" t="s">
        <v>21</v>
      </c>
      <c r="B7" s="14" t="s">
        <v>8</v>
      </c>
      <c r="C7" s="13">
        <v>24</v>
      </c>
      <c r="D7" s="14" t="s">
        <v>91</v>
      </c>
      <c r="E7" s="13">
        <v>5</v>
      </c>
      <c r="F7" s="13">
        <v>5</v>
      </c>
    </row>
    <row r="8" spans="1:6" x14ac:dyDescent="0.45">
      <c r="A8" s="11" t="s">
        <v>21</v>
      </c>
      <c r="B8" s="12" t="s">
        <v>8</v>
      </c>
      <c r="C8" s="11">
        <v>25</v>
      </c>
      <c r="D8" s="12" t="s">
        <v>80</v>
      </c>
      <c r="E8" s="11">
        <v>3</v>
      </c>
      <c r="F8" s="11">
        <v>3</v>
      </c>
    </row>
    <row r="9" spans="1:6" x14ac:dyDescent="0.45">
      <c r="A9" s="13" t="s">
        <v>21</v>
      </c>
      <c r="B9" s="14" t="s">
        <v>8</v>
      </c>
      <c r="C9" s="13">
        <v>33</v>
      </c>
      <c r="D9" s="14" t="s">
        <v>92</v>
      </c>
      <c r="E9" s="13">
        <v>8</v>
      </c>
      <c r="F9" s="13">
        <v>4</v>
      </c>
    </row>
    <row r="10" spans="1:6" x14ac:dyDescent="0.45">
      <c r="A10" s="11" t="s">
        <v>21</v>
      </c>
      <c r="B10" s="12" t="s">
        <v>8</v>
      </c>
      <c r="C10" s="11">
        <v>92</v>
      </c>
      <c r="D10" s="12" t="s">
        <v>93</v>
      </c>
      <c r="E10" s="11">
        <v>3</v>
      </c>
      <c r="F10" s="11">
        <v>2</v>
      </c>
    </row>
    <row r="11" spans="1:6" x14ac:dyDescent="0.45">
      <c r="A11" s="13" t="s">
        <v>26</v>
      </c>
      <c r="B11" s="14" t="s">
        <v>10</v>
      </c>
      <c r="C11" s="13">
        <v>2</v>
      </c>
      <c r="D11" s="14" t="s">
        <v>78</v>
      </c>
      <c r="E11" s="13">
        <v>9</v>
      </c>
      <c r="F11" s="13">
        <v>5</v>
      </c>
    </row>
    <row r="12" spans="1:6" x14ac:dyDescent="0.45">
      <c r="A12" s="11" t="s">
        <v>26</v>
      </c>
      <c r="B12" s="12" t="s">
        <v>10</v>
      </c>
      <c r="C12" s="11">
        <v>3</v>
      </c>
      <c r="D12" s="12" t="s">
        <v>79</v>
      </c>
      <c r="E12" s="11">
        <v>7</v>
      </c>
      <c r="F12" s="11">
        <v>5</v>
      </c>
    </row>
    <row r="13" spans="1:6" x14ac:dyDescent="0.45">
      <c r="A13" s="13" t="s">
        <v>26</v>
      </c>
      <c r="B13" s="14" t="s">
        <v>10</v>
      </c>
      <c r="C13" s="13">
        <v>7</v>
      </c>
      <c r="D13" s="14" t="s">
        <v>81</v>
      </c>
      <c r="E13" s="13">
        <v>1</v>
      </c>
      <c r="F13" s="13">
        <v>1</v>
      </c>
    </row>
    <row r="14" spans="1:6" x14ac:dyDescent="0.45">
      <c r="A14" s="11" t="s">
        <v>26</v>
      </c>
      <c r="B14" s="12" t="s">
        <v>10</v>
      </c>
      <c r="C14" s="11">
        <v>9</v>
      </c>
      <c r="D14" s="12" t="s">
        <v>83</v>
      </c>
      <c r="E14" s="11">
        <v>9</v>
      </c>
      <c r="F14" s="11">
        <v>6</v>
      </c>
    </row>
    <row r="15" spans="1:6" x14ac:dyDescent="0.45">
      <c r="A15" s="13" t="s">
        <v>26</v>
      </c>
      <c r="B15" s="14" t="s">
        <v>10</v>
      </c>
      <c r="C15" s="13">
        <v>19</v>
      </c>
      <c r="D15" s="14" t="s">
        <v>89</v>
      </c>
      <c r="E15" s="13">
        <v>2</v>
      </c>
      <c r="F15" s="13">
        <v>1</v>
      </c>
    </row>
    <row r="16" spans="1:6" x14ac:dyDescent="0.45">
      <c r="A16" s="11" t="s">
        <v>26</v>
      </c>
      <c r="B16" s="12" t="s">
        <v>10</v>
      </c>
      <c r="C16" s="11">
        <v>25</v>
      </c>
      <c r="D16" s="12" t="s">
        <v>80</v>
      </c>
      <c r="E16" s="11">
        <v>1</v>
      </c>
      <c r="F16" s="11">
        <v>1</v>
      </c>
    </row>
    <row r="17" spans="1:6" x14ac:dyDescent="0.45">
      <c r="A17" s="13" t="s">
        <v>26</v>
      </c>
      <c r="B17" s="14" t="s">
        <v>10</v>
      </c>
      <c r="C17" s="13">
        <v>4</v>
      </c>
      <c r="D17" s="14" t="s">
        <v>94</v>
      </c>
      <c r="E17" s="13">
        <v>3</v>
      </c>
      <c r="F17" s="13">
        <v>3</v>
      </c>
    </row>
    <row r="18" spans="1:6" x14ac:dyDescent="0.45">
      <c r="A18" s="11" t="s">
        <v>26</v>
      </c>
      <c r="B18" s="12" t="s">
        <v>10</v>
      </c>
      <c r="C18" s="11">
        <v>33</v>
      </c>
      <c r="D18" s="12" t="s">
        <v>92</v>
      </c>
      <c r="E18" s="11">
        <v>9</v>
      </c>
      <c r="F18" s="11">
        <v>6</v>
      </c>
    </row>
    <row r="19" spans="1:6" x14ac:dyDescent="0.45">
      <c r="A19" s="13" t="s">
        <v>26</v>
      </c>
      <c r="B19" s="14" t="s">
        <v>10</v>
      </c>
      <c r="C19" s="13">
        <v>92</v>
      </c>
      <c r="D19" s="14" t="s">
        <v>93</v>
      </c>
      <c r="E19" s="13">
        <v>2</v>
      </c>
      <c r="F19" s="13">
        <v>2</v>
      </c>
    </row>
    <row r="20" spans="1:6" x14ac:dyDescent="0.45">
      <c r="A20" s="11" t="s">
        <v>33</v>
      </c>
      <c r="B20" s="12" t="s">
        <v>13</v>
      </c>
      <c r="C20" s="11">
        <v>3</v>
      </c>
      <c r="D20" s="12" t="s">
        <v>79</v>
      </c>
      <c r="E20" s="11">
        <v>8</v>
      </c>
      <c r="F20" s="11">
        <v>6</v>
      </c>
    </row>
    <row r="21" spans="1:6" x14ac:dyDescent="0.45">
      <c r="A21" s="13" t="s">
        <v>33</v>
      </c>
      <c r="B21" s="14" t="s">
        <v>13</v>
      </c>
      <c r="C21" s="13">
        <v>8</v>
      </c>
      <c r="D21" s="14" t="s">
        <v>82</v>
      </c>
      <c r="E21" s="13">
        <v>3</v>
      </c>
      <c r="F21" s="13">
        <v>1</v>
      </c>
    </row>
    <row r="22" spans="1:6" x14ac:dyDescent="0.45">
      <c r="A22" s="11" t="s">
        <v>33</v>
      </c>
      <c r="B22" s="12" t="s">
        <v>13</v>
      </c>
      <c r="C22" s="11">
        <v>9</v>
      </c>
      <c r="D22" s="12" t="s">
        <v>83</v>
      </c>
      <c r="E22" s="11">
        <v>9</v>
      </c>
      <c r="F22" s="11">
        <v>6</v>
      </c>
    </row>
    <row r="23" spans="1:6" x14ac:dyDescent="0.45">
      <c r="A23" s="13" t="s">
        <v>33</v>
      </c>
      <c r="B23" s="14" t="s">
        <v>13</v>
      </c>
      <c r="C23" s="13">
        <v>10</v>
      </c>
      <c r="D23" s="14" t="s">
        <v>84</v>
      </c>
      <c r="E23" s="13">
        <v>1</v>
      </c>
      <c r="F23" s="13">
        <v>1</v>
      </c>
    </row>
    <row r="24" spans="1:6" x14ac:dyDescent="0.45">
      <c r="A24" s="11" t="s">
        <v>33</v>
      </c>
      <c r="B24" s="12" t="s">
        <v>13</v>
      </c>
      <c r="C24" s="11">
        <v>15</v>
      </c>
      <c r="D24" s="12" t="s">
        <v>87</v>
      </c>
      <c r="E24" s="11">
        <v>2</v>
      </c>
      <c r="F24" s="11">
        <v>1</v>
      </c>
    </row>
    <row r="25" spans="1:6" x14ac:dyDescent="0.45">
      <c r="A25" s="13" t="s">
        <v>33</v>
      </c>
      <c r="B25" s="14" t="s">
        <v>13</v>
      </c>
      <c r="C25" s="13">
        <v>19</v>
      </c>
      <c r="D25" s="14" t="s">
        <v>89</v>
      </c>
      <c r="E25" s="13">
        <v>1</v>
      </c>
      <c r="F25" s="13">
        <v>1</v>
      </c>
    </row>
    <row r="26" spans="1:6" x14ac:dyDescent="0.45">
      <c r="A26" s="11" t="s">
        <v>33</v>
      </c>
      <c r="B26" s="12" t="s">
        <v>13</v>
      </c>
      <c r="C26" s="11">
        <v>4</v>
      </c>
      <c r="D26" s="14" t="s">
        <v>94</v>
      </c>
      <c r="E26" s="11">
        <v>5</v>
      </c>
      <c r="F26" s="11">
        <v>5</v>
      </c>
    </row>
    <row r="27" spans="1:6" x14ac:dyDescent="0.45">
      <c r="A27" s="13" t="s">
        <v>33</v>
      </c>
      <c r="B27" s="14" t="s">
        <v>13</v>
      </c>
      <c r="C27" s="13">
        <v>33</v>
      </c>
      <c r="D27" s="14" t="s">
        <v>92</v>
      </c>
      <c r="E27" s="13">
        <v>19</v>
      </c>
      <c r="F27" s="13">
        <v>14</v>
      </c>
    </row>
    <row r="28" spans="1:6" x14ac:dyDescent="0.45">
      <c r="A28" s="11" t="s">
        <v>33</v>
      </c>
      <c r="B28" s="12" t="s">
        <v>13</v>
      </c>
      <c r="C28" s="11">
        <v>92</v>
      </c>
      <c r="D28" s="12" t="s">
        <v>93</v>
      </c>
      <c r="E28" s="11">
        <v>2</v>
      </c>
      <c r="F28" s="11">
        <v>2</v>
      </c>
    </row>
    <row r="29" spans="1:6" x14ac:dyDescent="0.45">
      <c r="A29" s="13" t="s">
        <v>29</v>
      </c>
      <c r="B29" s="14" t="s">
        <v>30</v>
      </c>
      <c r="C29" s="13">
        <v>2</v>
      </c>
      <c r="D29" s="14" t="s">
        <v>78</v>
      </c>
      <c r="E29" s="13">
        <v>9</v>
      </c>
      <c r="F29" s="13">
        <v>3</v>
      </c>
    </row>
    <row r="30" spans="1:6" x14ac:dyDescent="0.45">
      <c r="A30" s="11" t="s">
        <v>29</v>
      </c>
      <c r="B30" s="12" t="s">
        <v>30</v>
      </c>
      <c r="C30" s="11">
        <v>3</v>
      </c>
      <c r="D30" s="12" t="s">
        <v>79</v>
      </c>
      <c r="E30" s="11">
        <v>3</v>
      </c>
      <c r="F30" s="11">
        <v>1</v>
      </c>
    </row>
    <row r="31" spans="1:6" x14ac:dyDescent="0.45">
      <c r="A31" s="13" t="s">
        <v>29</v>
      </c>
      <c r="B31" s="14" t="s">
        <v>30</v>
      </c>
      <c r="C31" s="13">
        <v>4</v>
      </c>
      <c r="D31" s="14" t="s">
        <v>94</v>
      </c>
      <c r="E31" s="13">
        <v>6</v>
      </c>
      <c r="F31" s="13">
        <v>6</v>
      </c>
    </row>
    <row r="32" spans="1:6" x14ac:dyDescent="0.45">
      <c r="A32" s="11" t="s">
        <v>29</v>
      </c>
      <c r="B32" s="12" t="s">
        <v>30</v>
      </c>
      <c r="C32" s="11">
        <v>9</v>
      </c>
      <c r="D32" s="12" t="s">
        <v>83</v>
      </c>
      <c r="E32" s="11">
        <v>5</v>
      </c>
      <c r="F32" s="11">
        <v>4</v>
      </c>
    </row>
    <row r="33" spans="1:6" x14ac:dyDescent="0.45">
      <c r="A33" s="13" t="s">
        <v>29</v>
      </c>
      <c r="B33" s="14" t="s">
        <v>30</v>
      </c>
      <c r="C33" s="13">
        <v>10</v>
      </c>
      <c r="D33" s="14" t="s">
        <v>84</v>
      </c>
      <c r="E33" s="13">
        <v>3</v>
      </c>
      <c r="F33" s="13">
        <v>2</v>
      </c>
    </row>
    <row r="34" spans="1:6" x14ac:dyDescent="0.45">
      <c r="A34" s="11" t="s">
        <v>29</v>
      </c>
      <c r="B34" s="12" t="s">
        <v>30</v>
      </c>
      <c r="C34" s="11">
        <v>13</v>
      </c>
      <c r="D34" s="12" t="s">
        <v>86</v>
      </c>
      <c r="E34" s="11">
        <v>8</v>
      </c>
      <c r="F34" s="11">
        <v>2</v>
      </c>
    </row>
    <row r="35" spans="1:6" x14ac:dyDescent="0.45">
      <c r="A35" s="13" t="s">
        <v>29</v>
      </c>
      <c r="B35" s="14" t="s">
        <v>30</v>
      </c>
      <c r="C35" s="13">
        <v>15</v>
      </c>
      <c r="D35" s="14" t="s">
        <v>87</v>
      </c>
      <c r="E35" s="13">
        <v>2</v>
      </c>
      <c r="F35" s="13">
        <v>2</v>
      </c>
    </row>
    <row r="36" spans="1:6" x14ac:dyDescent="0.45">
      <c r="A36" s="11" t="s">
        <v>29</v>
      </c>
      <c r="B36" s="12" t="s">
        <v>30</v>
      </c>
      <c r="C36" s="11">
        <v>19</v>
      </c>
      <c r="D36" s="12" t="s">
        <v>89</v>
      </c>
      <c r="E36" s="11">
        <v>1</v>
      </c>
      <c r="F36" s="11">
        <v>1</v>
      </c>
    </row>
    <row r="37" spans="1:6" x14ac:dyDescent="0.45">
      <c r="A37" s="13" t="s">
        <v>29</v>
      </c>
      <c r="B37" s="14" t="s">
        <v>30</v>
      </c>
      <c r="C37" s="13">
        <v>24</v>
      </c>
      <c r="D37" s="14" t="s">
        <v>91</v>
      </c>
      <c r="E37" s="13">
        <v>3</v>
      </c>
      <c r="F37" s="13">
        <v>3</v>
      </c>
    </row>
    <row r="38" spans="1:6" x14ac:dyDescent="0.45">
      <c r="A38" s="11" t="s">
        <v>29</v>
      </c>
      <c r="B38" s="12" t="s">
        <v>30</v>
      </c>
      <c r="C38" s="11">
        <v>25</v>
      </c>
      <c r="D38" s="12" t="s">
        <v>80</v>
      </c>
      <c r="E38" s="11">
        <v>4</v>
      </c>
      <c r="F38" s="11">
        <v>3</v>
      </c>
    </row>
    <row r="39" spans="1:6" x14ac:dyDescent="0.45">
      <c r="A39" s="13" t="s">
        <v>29</v>
      </c>
      <c r="B39" s="14" t="s">
        <v>30</v>
      </c>
      <c r="C39" s="13">
        <v>33</v>
      </c>
      <c r="D39" s="14" t="s">
        <v>92</v>
      </c>
      <c r="E39" s="13">
        <v>8</v>
      </c>
      <c r="F39" s="13">
        <v>2</v>
      </c>
    </row>
    <row r="40" spans="1:6" x14ac:dyDescent="0.45">
      <c r="A40" s="11" t="s">
        <v>22</v>
      </c>
      <c r="B40" s="12" t="s">
        <v>23</v>
      </c>
      <c r="C40" s="11">
        <v>2</v>
      </c>
      <c r="D40" s="12" t="s">
        <v>78</v>
      </c>
      <c r="E40" s="11">
        <v>7</v>
      </c>
      <c r="F40" s="11">
        <v>3</v>
      </c>
    </row>
    <row r="41" spans="1:6" x14ac:dyDescent="0.45">
      <c r="A41" s="13" t="s">
        <v>22</v>
      </c>
      <c r="B41" s="14" t="s">
        <v>23</v>
      </c>
      <c r="C41" s="13">
        <v>3</v>
      </c>
      <c r="D41" s="14" t="s">
        <v>79</v>
      </c>
      <c r="E41" s="13">
        <v>7</v>
      </c>
      <c r="F41" s="13">
        <v>7</v>
      </c>
    </row>
    <row r="42" spans="1:6" x14ac:dyDescent="0.45">
      <c r="A42" s="11" t="s">
        <v>22</v>
      </c>
      <c r="B42" s="12" t="s">
        <v>23</v>
      </c>
      <c r="C42" s="11">
        <v>4</v>
      </c>
      <c r="D42" s="12" t="s">
        <v>94</v>
      </c>
      <c r="E42" s="11">
        <v>8</v>
      </c>
      <c r="F42" s="11">
        <v>7</v>
      </c>
    </row>
    <row r="43" spans="1:6" x14ac:dyDescent="0.45">
      <c r="A43" s="13" t="s">
        <v>22</v>
      </c>
      <c r="B43" s="14" t="s">
        <v>23</v>
      </c>
      <c r="C43" s="13">
        <v>9</v>
      </c>
      <c r="D43" s="14" t="s">
        <v>83</v>
      </c>
      <c r="E43" s="13">
        <v>7</v>
      </c>
      <c r="F43" s="13">
        <v>7</v>
      </c>
    </row>
    <row r="44" spans="1:6" x14ac:dyDescent="0.45">
      <c r="A44" s="11" t="s">
        <v>22</v>
      </c>
      <c r="B44" s="12" t="s">
        <v>23</v>
      </c>
      <c r="C44" s="11">
        <v>13</v>
      </c>
      <c r="D44" s="12" t="s">
        <v>86</v>
      </c>
      <c r="E44" s="11">
        <v>2</v>
      </c>
      <c r="F44" s="11">
        <v>0</v>
      </c>
    </row>
    <row r="45" spans="1:6" x14ac:dyDescent="0.45">
      <c r="A45" s="13" t="s">
        <v>22</v>
      </c>
      <c r="B45" s="14" t="s">
        <v>23</v>
      </c>
      <c r="C45" s="13">
        <v>19</v>
      </c>
      <c r="D45" s="14" t="s">
        <v>89</v>
      </c>
      <c r="E45" s="13">
        <v>2</v>
      </c>
      <c r="F45" s="13">
        <v>2</v>
      </c>
    </row>
    <row r="46" spans="1:6" x14ac:dyDescent="0.45">
      <c r="A46" s="11" t="s">
        <v>22</v>
      </c>
      <c r="B46" s="12" t="s">
        <v>23</v>
      </c>
      <c r="C46" s="11">
        <v>24</v>
      </c>
      <c r="D46" s="12" t="s">
        <v>91</v>
      </c>
      <c r="E46" s="11">
        <v>2</v>
      </c>
      <c r="F46" s="11">
        <v>2</v>
      </c>
    </row>
    <row r="47" spans="1:6" x14ac:dyDescent="0.45">
      <c r="A47" s="13" t="s">
        <v>22</v>
      </c>
      <c r="B47" s="14" t="s">
        <v>23</v>
      </c>
      <c r="C47" s="13">
        <v>25</v>
      </c>
      <c r="D47" s="14" t="s">
        <v>80</v>
      </c>
      <c r="E47" s="13">
        <v>8</v>
      </c>
      <c r="F47" s="13">
        <v>6</v>
      </c>
    </row>
    <row r="48" spans="1:6" x14ac:dyDescent="0.45">
      <c r="A48" s="11" t="s">
        <v>22</v>
      </c>
      <c r="B48" s="12" t="s">
        <v>23</v>
      </c>
      <c r="C48" s="11">
        <v>33</v>
      </c>
      <c r="D48" s="12" t="s">
        <v>92</v>
      </c>
      <c r="E48" s="11">
        <v>4</v>
      </c>
      <c r="F48" s="11">
        <v>1</v>
      </c>
    </row>
    <row r="49" spans="1:6" x14ac:dyDescent="0.45">
      <c r="A49" s="13" t="s">
        <v>36</v>
      </c>
      <c r="B49" s="14" t="s">
        <v>9</v>
      </c>
      <c r="C49" s="13">
        <v>2</v>
      </c>
      <c r="D49" s="14" t="s">
        <v>78</v>
      </c>
      <c r="E49" s="13">
        <v>8</v>
      </c>
      <c r="F49" s="13">
        <v>3</v>
      </c>
    </row>
    <row r="50" spans="1:6" x14ac:dyDescent="0.45">
      <c r="A50" s="11" t="s">
        <v>36</v>
      </c>
      <c r="B50" s="12" t="s">
        <v>9</v>
      </c>
      <c r="C50" s="11">
        <v>3</v>
      </c>
      <c r="D50" s="12" t="s">
        <v>79</v>
      </c>
      <c r="E50" s="11">
        <v>7</v>
      </c>
      <c r="F50" s="11">
        <v>5</v>
      </c>
    </row>
    <row r="51" spans="1:6" x14ac:dyDescent="0.45">
      <c r="A51" s="13" t="s">
        <v>36</v>
      </c>
      <c r="B51" s="14" t="s">
        <v>9</v>
      </c>
      <c r="C51" s="13">
        <v>4</v>
      </c>
      <c r="D51" s="14" t="s">
        <v>94</v>
      </c>
      <c r="E51" s="13">
        <v>4</v>
      </c>
      <c r="F51" s="13">
        <v>3</v>
      </c>
    </row>
    <row r="52" spans="1:6" x14ac:dyDescent="0.45">
      <c r="A52" s="11" t="s">
        <v>36</v>
      </c>
      <c r="B52" s="12" t="s">
        <v>9</v>
      </c>
      <c r="C52" s="11">
        <v>7</v>
      </c>
      <c r="D52" s="12" t="s">
        <v>81</v>
      </c>
      <c r="E52" s="11">
        <v>1</v>
      </c>
      <c r="F52" s="11">
        <v>1</v>
      </c>
    </row>
    <row r="53" spans="1:6" x14ac:dyDescent="0.45">
      <c r="A53" s="13" t="s">
        <v>36</v>
      </c>
      <c r="B53" s="14" t="s">
        <v>9</v>
      </c>
      <c r="C53" s="13">
        <v>8</v>
      </c>
      <c r="D53" s="14" t="s">
        <v>82</v>
      </c>
      <c r="E53" s="13">
        <v>2</v>
      </c>
      <c r="F53" s="13">
        <v>1</v>
      </c>
    </row>
    <row r="54" spans="1:6" x14ac:dyDescent="0.45">
      <c r="A54" s="11" t="s">
        <v>36</v>
      </c>
      <c r="B54" s="12" t="s">
        <v>9</v>
      </c>
      <c r="C54" s="11">
        <v>9</v>
      </c>
      <c r="D54" s="12" t="s">
        <v>83</v>
      </c>
      <c r="E54" s="11">
        <v>6</v>
      </c>
      <c r="F54" s="11">
        <v>2</v>
      </c>
    </row>
    <row r="55" spans="1:6" x14ac:dyDescent="0.45">
      <c r="A55" s="13" t="s">
        <v>36</v>
      </c>
      <c r="B55" s="14" t="s">
        <v>9</v>
      </c>
      <c r="C55" s="13">
        <v>15</v>
      </c>
      <c r="D55" s="14" t="s">
        <v>87</v>
      </c>
      <c r="E55" s="13">
        <v>1</v>
      </c>
      <c r="F55" s="13">
        <v>1</v>
      </c>
    </row>
    <row r="56" spans="1:6" x14ac:dyDescent="0.45">
      <c r="A56" s="11" t="s">
        <v>36</v>
      </c>
      <c r="B56" s="12" t="s">
        <v>9</v>
      </c>
      <c r="C56" s="11">
        <v>24</v>
      </c>
      <c r="D56" s="12" t="s">
        <v>91</v>
      </c>
      <c r="E56" s="11">
        <v>3</v>
      </c>
      <c r="F56" s="11">
        <v>1</v>
      </c>
    </row>
    <row r="57" spans="1:6" x14ac:dyDescent="0.45">
      <c r="A57" s="13" t="s">
        <v>36</v>
      </c>
      <c r="B57" s="14" t="s">
        <v>9</v>
      </c>
      <c r="C57" s="13">
        <v>25</v>
      </c>
      <c r="D57" s="14" t="s">
        <v>80</v>
      </c>
      <c r="E57" s="13">
        <v>3</v>
      </c>
      <c r="F57" s="13">
        <v>3</v>
      </c>
    </row>
    <row r="58" spans="1:6" x14ac:dyDescent="0.45">
      <c r="A58" s="11" t="s">
        <v>36</v>
      </c>
      <c r="B58" s="12" t="s">
        <v>9</v>
      </c>
      <c r="C58" s="11">
        <v>33</v>
      </c>
      <c r="D58" s="12" t="s">
        <v>92</v>
      </c>
      <c r="E58" s="11">
        <v>3</v>
      </c>
      <c r="F58" s="11">
        <v>2</v>
      </c>
    </row>
    <row r="59" spans="1:6" x14ac:dyDescent="0.45">
      <c r="A59" s="13" t="s">
        <v>36</v>
      </c>
      <c r="B59" s="14" t="s">
        <v>9</v>
      </c>
      <c r="C59" s="13">
        <v>92</v>
      </c>
      <c r="D59" s="14" t="s">
        <v>93</v>
      </c>
      <c r="E59" s="13">
        <v>2</v>
      </c>
      <c r="F59" s="13">
        <v>1</v>
      </c>
    </row>
    <row r="60" spans="1:6" x14ac:dyDescent="0.45">
      <c r="A60" s="11" t="s">
        <v>37</v>
      </c>
      <c r="B60" s="12" t="s">
        <v>12</v>
      </c>
      <c r="C60" s="11">
        <v>2</v>
      </c>
      <c r="D60" s="12" t="s">
        <v>78</v>
      </c>
      <c r="E60" s="11">
        <v>16</v>
      </c>
      <c r="F60" s="11">
        <v>8</v>
      </c>
    </row>
    <row r="61" spans="1:6" x14ac:dyDescent="0.45">
      <c r="A61" s="13" t="s">
        <v>37</v>
      </c>
      <c r="B61" s="14" t="s">
        <v>12</v>
      </c>
      <c r="C61" s="13">
        <v>3</v>
      </c>
      <c r="D61" s="14" t="s">
        <v>79</v>
      </c>
      <c r="E61" s="13">
        <v>7</v>
      </c>
      <c r="F61" s="13">
        <v>5</v>
      </c>
    </row>
    <row r="62" spans="1:6" x14ac:dyDescent="0.45">
      <c r="A62" s="11" t="s">
        <v>37</v>
      </c>
      <c r="B62" s="12" t="s">
        <v>12</v>
      </c>
      <c r="C62" s="11">
        <v>4</v>
      </c>
      <c r="D62" s="12" t="s">
        <v>94</v>
      </c>
      <c r="E62" s="11">
        <v>3</v>
      </c>
      <c r="F62" s="11">
        <v>3</v>
      </c>
    </row>
    <row r="63" spans="1:6" x14ac:dyDescent="0.45">
      <c r="A63" s="13" t="s">
        <v>37</v>
      </c>
      <c r="B63" s="14" t="s">
        <v>12</v>
      </c>
      <c r="C63" s="13">
        <v>7</v>
      </c>
      <c r="D63" s="14" t="s">
        <v>81</v>
      </c>
      <c r="E63" s="13">
        <v>1</v>
      </c>
      <c r="F63" s="13">
        <v>1</v>
      </c>
    </row>
    <row r="64" spans="1:6" x14ac:dyDescent="0.45">
      <c r="A64" s="11" t="s">
        <v>37</v>
      </c>
      <c r="B64" s="12" t="s">
        <v>12</v>
      </c>
      <c r="C64" s="11">
        <v>9</v>
      </c>
      <c r="D64" s="12" t="s">
        <v>83</v>
      </c>
      <c r="E64" s="11">
        <v>7</v>
      </c>
      <c r="F64" s="11">
        <v>5</v>
      </c>
    </row>
    <row r="65" spans="1:6" x14ac:dyDescent="0.45">
      <c r="A65" s="13" t="s">
        <v>37</v>
      </c>
      <c r="B65" s="14" t="s">
        <v>12</v>
      </c>
      <c r="C65" s="13">
        <v>24</v>
      </c>
      <c r="D65" s="14" t="s">
        <v>91</v>
      </c>
      <c r="E65" s="13">
        <v>3</v>
      </c>
      <c r="F65" s="13">
        <v>3</v>
      </c>
    </row>
    <row r="66" spans="1:6" x14ac:dyDescent="0.45">
      <c r="A66" s="11" t="s">
        <v>37</v>
      </c>
      <c r="B66" s="12" t="s">
        <v>12</v>
      </c>
      <c r="C66" s="11">
        <v>25</v>
      </c>
      <c r="D66" s="12" t="s">
        <v>80</v>
      </c>
      <c r="E66" s="11">
        <v>5</v>
      </c>
      <c r="F66" s="11">
        <v>3</v>
      </c>
    </row>
    <row r="67" spans="1:6" x14ac:dyDescent="0.45">
      <c r="A67" s="13" t="s">
        <v>37</v>
      </c>
      <c r="B67" s="14" t="s">
        <v>12</v>
      </c>
      <c r="C67" s="13">
        <v>33</v>
      </c>
      <c r="D67" s="14" t="s">
        <v>92</v>
      </c>
      <c r="E67" s="13">
        <v>11</v>
      </c>
      <c r="F67" s="13">
        <v>4</v>
      </c>
    </row>
    <row r="68" spans="1:6" x14ac:dyDescent="0.45">
      <c r="A68" s="11" t="s">
        <v>37</v>
      </c>
      <c r="B68" s="12" t="s">
        <v>12</v>
      </c>
      <c r="C68" s="11">
        <v>92</v>
      </c>
      <c r="D68" s="12" t="s">
        <v>93</v>
      </c>
      <c r="E68" s="11">
        <v>1</v>
      </c>
      <c r="F68" s="11">
        <v>0</v>
      </c>
    </row>
    <row r="69" spans="1:6" x14ac:dyDescent="0.45">
      <c r="A69" s="13" t="s">
        <v>38</v>
      </c>
      <c r="B69" s="14" t="s">
        <v>39</v>
      </c>
      <c r="C69" s="13">
        <v>2</v>
      </c>
      <c r="D69" s="14" t="s">
        <v>78</v>
      </c>
      <c r="E69" s="13">
        <v>13</v>
      </c>
      <c r="F69" s="13">
        <v>8</v>
      </c>
    </row>
    <row r="70" spans="1:6" x14ac:dyDescent="0.45">
      <c r="A70" s="11" t="s">
        <v>38</v>
      </c>
      <c r="B70" s="12" t="s">
        <v>39</v>
      </c>
      <c r="C70" s="11">
        <v>3</v>
      </c>
      <c r="D70" s="12" t="s">
        <v>79</v>
      </c>
      <c r="E70" s="11">
        <v>4</v>
      </c>
      <c r="F70" s="11">
        <v>2</v>
      </c>
    </row>
    <row r="71" spans="1:6" x14ac:dyDescent="0.45">
      <c r="A71" s="13" t="s">
        <v>38</v>
      </c>
      <c r="B71" s="14" t="s">
        <v>39</v>
      </c>
      <c r="C71" s="13">
        <v>4</v>
      </c>
      <c r="D71" s="14" t="s">
        <v>94</v>
      </c>
      <c r="E71" s="13">
        <v>4</v>
      </c>
      <c r="F71" s="13">
        <v>4</v>
      </c>
    </row>
    <row r="72" spans="1:6" x14ac:dyDescent="0.45">
      <c r="A72" s="11" t="s">
        <v>38</v>
      </c>
      <c r="B72" s="12" t="s">
        <v>39</v>
      </c>
      <c r="C72" s="11">
        <v>8</v>
      </c>
      <c r="D72" s="12" t="s">
        <v>82</v>
      </c>
      <c r="E72" s="11">
        <v>5</v>
      </c>
      <c r="F72" s="11">
        <v>5</v>
      </c>
    </row>
    <row r="73" spans="1:6" x14ac:dyDescent="0.45">
      <c r="A73" s="13" t="s">
        <v>38</v>
      </c>
      <c r="B73" s="14" t="s">
        <v>39</v>
      </c>
      <c r="C73" s="13">
        <v>9</v>
      </c>
      <c r="D73" s="14" t="s">
        <v>83</v>
      </c>
      <c r="E73" s="13">
        <v>6</v>
      </c>
      <c r="F73" s="13">
        <v>3</v>
      </c>
    </row>
    <row r="74" spans="1:6" x14ac:dyDescent="0.45">
      <c r="A74" s="11" t="s">
        <v>38</v>
      </c>
      <c r="B74" s="12" t="s">
        <v>39</v>
      </c>
      <c r="C74" s="11">
        <v>10</v>
      </c>
      <c r="D74" s="12" t="s">
        <v>84</v>
      </c>
      <c r="E74" s="11">
        <v>4</v>
      </c>
      <c r="F74" s="11">
        <v>4</v>
      </c>
    </row>
    <row r="75" spans="1:6" x14ac:dyDescent="0.45">
      <c r="A75" s="13" t="s">
        <v>38</v>
      </c>
      <c r="B75" s="14" t="s">
        <v>39</v>
      </c>
      <c r="C75" s="13">
        <v>19</v>
      </c>
      <c r="D75" s="14" t="s">
        <v>89</v>
      </c>
      <c r="E75" s="13">
        <v>1</v>
      </c>
      <c r="F75" s="13">
        <v>1</v>
      </c>
    </row>
    <row r="76" spans="1:6" x14ac:dyDescent="0.45">
      <c r="A76" s="11" t="s">
        <v>38</v>
      </c>
      <c r="B76" s="12" t="s">
        <v>39</v>
      </c>
      <c r="C76" s="11">
        <v>24</v>
      </c>
      <c r="D76" s="12" t="s">
        <v>91</v>
      </c>
      <c r="E76" s="11">
        <v>6</v>
      </c>
      <c r="F76" s="11">
        <v>6</v>
      </c>
    </row>
    <row r="77" spans="1:6" x14ac:dyDescent="0.45">
      <c r="A77" s="13" t="s">
        <v>38</v>
      </c>
      <c r="B77" s="14" t="s">
        <v>39</v>
      </c>
      <c r="C77" s="13">
        <v>25</v>
      </c>
      <c r="D77" s="14" t="s">
        <v>80</v>
      </c>
      <c r="E77" s="13">
        <v>7</v>
      </c>
      <c r="F77" s="13">
        <v>4</v>
      </c>
    </row>
    <row r="78" spans="1:6" x14ac:dyDescent="0.45">
      <c r="A78" s="11" t="s">
        <v>40</v>
      </c>
      <c r="B78" s="12" t="s">
        <v>4</v>
      </c>
      <c r="C78" s="11">
        <v>2</v>
      </c>
      <c r="D78" s="12" t="s">
        <v>78</v>
      </c>
      <c r="E78" s="11">
        <v>5</v>
      </c>
      <c r="F78" s="11">
        <v>2</v>
      </c>
    </row>
    <row r="79" spans="1:6" x14ac:dyDescent="0.45">
      <c r="A79" s="13" t="s">
        <v>40</v>
      </c>
      <c r="B79" s="14" t="s">
        <v>4</v>
      </c>
      <c r="C79" s="13">
        <v>3</v>
      </c>
      <c r="D79" s="14" t="s">
        <v>79</v>
      </c>
      <c r="E79" s="13">
        <v>4</v>
      </c>
      <c r="F79" s="13">
        <v>3</v>
      </c>
    </row>
    <row r="80" spans="1:6" x14ac:dyDescent="0.45">
      <c r="A80" s="11" t="s">
        <v>40</v>
      </c>
      <c r="B80" s="12" t="s">
        <v>4</v>
      </c>
      <c r="C80" s="11">
        <v>4</v>
      </c>
      <c r="D80" s="12" t="s">
        <v>94</v>
      </c>
      <c r="E80" s="11">
        <v>5</v>
      </c>
      <c r="F80" s="11">
        <v>4</v>
      </c>
    </row>
    <row r="81" spans="1:6" x14ac:dyDescent="0.45">
      <c r="A81" s="13" t="s">
        <v>40</v>
      </c>
      <c r="B81" s="14" t="s">
        <v>4</v>
      </c>
      <c r="C81" s="13">
        <v>8</v>
      </c>
      <c r="D81" s="14" t="s">
        <v>82</v>
      </c>
      <c r="E81" s="13">
        <v>2</v>
      </c>
      <c r="F81" s="13">
        <v>0</v>
      </c>
    </row>
    <row r="82" spans="1:6" x14ac:dyDescent="0.45">
      <c r="A82" s="11" t="s">
        <v>40</v>
      </c>
      <c r="B82" s="12" t="s">
        <v>4</v>
      </c>
      <c r="C82" s="11">
        <v>9</v>
      </c>
      <c r="D82" s="12" t="s">
        <v>83</v>
      </c>
      <c r="E82" s="11">
        <v>8</v>
      </c>
      <c r="F82" s="11">
        <v>7</v>
      </c>
    </row>
    <row r="83" spans="1:6" x14ac:dyDescent="0.45">
      <c r="A83" s="13" t="s">
        <v>40</v>
      </c>
      <c r="B83" s="14" t="s">
        <v>4</v>
      </c>
      <c r="C83" s="13">
        <v>10</v>
      </c>
      <c r="D83" s="14" t="s">
        <v>84</v>
      </c>
      <c r="E83" s="13">
        <v>4</v>
      </c>
      <c r="F83" s="13">
        <v>1</v>
      </c>
    </row>
    <row r="84" spans="1:6" x14ac:dyDescent="0.45">
      <c r="A84" s="11" t="s">
        <v>40</v>
      </c>
      <c r="B84" s="12" t="s">
        <v>4</v>
      </c>
      <c r="C84" s="11">
        <v>24</v>
      </c>
      <c r="D84" s="12" t="s">
        <v>91</v>
      </c>
      <c r="E84" s="11">
        <v>2</v>
      </c>
      <c r="F84" s="11">
        <v>2</v>
      </c>
    </row>
    <row r="85" spans="1:6" x14ac:dyDescent="0.45">
      <c r="A85" s="13" t="s">
        <v>40</v>
      </c>
      <c r="B85" s="14" t="s">
        <v>4</v>
      </c>
      <c r="C85" s="13">
        <v>25</v>
      </c>
      <c r="D85" s="14" t="s">
        <v>80</v>
      </c>
      <c r="E85" s="13">
        <v>5</v>
      </c>
      <c r="F85" s="13">
        <v>3</v>
      </c>
    </row>
    <row r="86" spans="1:6" x14ac:dyDescent="0.45">
      <c r="A86" s="11" t="s">
        <v>40</v>
      </c>
      <c r="B86" s="12" t="s">
        <v>4</v>
      </c>
      <c r="C86" s="11">
        <v>33</v>
      </c>
      <c r="D86" s="12" t="s">
        <v>92</v>
      </c>
      <c r="E86" s="11">
        <v>11</v>
      </c>
      <c r="F86" s="11">
        <v>6</v>
      </c>
    </row>
    <row r="87" spans="1:6" x14ac:dyDescent="0.45">
      <c r="A87" s="13" t="s">
        <v>40</v>
      </c>
      <c r="B87" s="14" t="s">
        <v>4</v>
      </c>
      <c r="C87" s="13">
        <v>92</v>
      </c>
      <c r="D87" s="14" t="s">
        <v>93</v>
      </c>
      <c r="E87" s="13">
        <v>1</v>
      </c>
      <c r="F87" s="13">
        <v>0</v>
      </c>
    </row>
    <row r="88" spans="1:6" x14ac:dyDescent="0.45">
      <c r="A88" s="11" t="s">
        <v>41</v>
      </c>
      <c r="B88" s="12" t="s">
        <v>7</v>
      </c>
      <c r="C88" s="11">
        <v>2</v>
      </c>
      <c r="D88" s="12" t="s">
        <v>78</v>
      </c>
      <c r="E88" s="11">
        <v>9</v>
      </c>
      <c r="F88" s="11">
        <v>6</v>
      </c>
    </row>
    <row r="89" spans="1:6" x14ac:dyDescent="0.45">
      <c r="A89" s="13" t="s">
        <v>41</v>
      </c>
      <c r="B89" s="14" t="s">
        <v>7</v>
      </c>
      <c r="C89" s="13">
        <v>3</v>
      </c>
      <c r="D89" s="14" t="s">
        <v>79</v>
      </c>
      <c r="E89" s="13">
        <v>11</v>
      </c>
      <c r="F89" s="13">
        <v>9</v>
      </c>
    </row>
    <row r="90" spans="1:6" x14ac:dyDescent="0.45">
      <c r="A90" s="11" t="s">
        <v>41</v>
      </c>
      <c r="B90" s="12" t="s">
        <v>7</v>
      </c>
      <c r="C90" s="11">
        <v>4</v>
      </c>
      <c r="D90" s="12" t="s">
        <v>94</v>
      </c>
      <c r="E90" s="11">
        <v>4</v>
      </c>
      <c r="F90" s="11">
        <v>4</v>
      </c>
    </row>
    <row r="91" spans="1:6" x14ac:dyDescent="0.45">
      <c r="A91" s="13" t="s">
        <v>41</v>
      </c>
      <c r="B91" s="14" t="s">
        <v>7</v>
      </c>
      <c r="C91" s="13">
        <v>8</v>
      </c>
      <c r="D91" s="14" t="s">
        <v>82</v>
      </c>
      <c r="E91" s="13">
        <v>5</v>
      </c>
      <c r="F91" s="13">
        <v>4</v>
      </c>
    </row>
    <row r="92" spans="1:6" x14ac:dyDescent="0.45">
      <c r="A92" s="11" t="s">
        <v>41</v>
      </c>
      <c r="B92" s="12" t="s">
        <v>7</v>
      </c>
      <c r="C92" s="11">
        <v>9</v>
      </c>
      <c r="D92" s="12" t="s">
        <v>83</v>
      </c>
      <c r="E92" s="11">
        <v>12</v>
      </c>
      <c r="F92" s="11">
        <v>8</v>
      </c>
    </row>
    <row r="93" spans="1:6" x14ac:dyDescent="0.45">
      <c r="A93" s="13" t="s">
        <v>41</v>
      </c>
      <c r="B93" s="14" t="s">
        <v>7</v>
      </c>
      <c r="C93" s="13">
        <v>12</v>
      </c>
      <c r="D93" s="14" t="s">
        <v>85</v>
      </c>
      <c r="E93" s="13">
        <v>1</v>
      </c>
      <c r="F93" s="13">
        <v>0</v>
      </c>
    </row>
    <row r="94" spans="1:6" x14ac:dyDescent="0.45">
      <c r="A94" s="11" t="s">
        <v>41</v>
      </c>
      <c r="B94" s="12" t="s">
        <v>7</v>
      </c>
      <c r="C94" s="11">
        <v>19</v>
      </c>
      <c r="D94" s="12" t="s">
        <v>89</v>
      </c>
      <c r="E94" s="11">
        <v>3</v>
      </c>
      <c r="F94" s="11">
        <v>3</v>
      </c>
    </row>
    <row r="95" spans="1:6" x14ac:dyDescent="0.45">
      <c r="A95" s="13" t="s">
        <v>41</v>
      </c>
      <c r="B95" s="14" t="s">
        <v>7</v>
      </c>
      <c r="C95" s="13">
        <v>25</v>
      </c>
      <c r="D95" s="14" t="s">
        <v>80</v>
      </c>
      <c r="E95" s="13">
        <v>5</v>
      </c>
      <c r="F95" s="13">
        <v>2</v>
      </c>
    </row>
    <row r="96" spans="1:6" x14ac:dyDescent="0.45">
      <c r="A96" s="11" t="s">
        <v>41</v>
      </c>
      <c r="B96" s="12" t="s">
        <v>7</v>
      </c>
      <c r="C96" s="11">
        <v>33</v>
      </c>
      <c r="D96" s="12" t="s">
        <v>92</v>
      </c>
      <c r="E96" s="11">
        <v>3</v>
      </c>
      <c r="F96" s="11">
        <v>1</v>
      </c>
    </row>
    <row r="97" spans="1:6" x14ac:dyDescent="0.45">
      <c r="A97" s="13" t="s">
        <v>41</v>
      </c>
      <c r="B97" s="14" t="s">
        <v>7</v>
      </c>
      <c r="C97" s="13">
        <v>92</v>
      </c>
      <c r="D97" s="14" t="s">
        <v>93</v>
      </c>
      <c r="E97" s="13">
        <v>1</v>
      </c>
      <c r="F97" s="13">
        <v>0</v>
      </c>
    </row>
    <row r="98" spans="1:6" x14ac:dyDescent="0.45">
      <c r="A98" s="11" t="s">
        <v>42</v>
      </c>
      <c r="B98" s="12" t="s">
        <v>11</v>
      </c>
      <c r="C98" s="11">
        <v>2</v>
      </c>
      <c r="D98" s="12" t="s">
        <v>78</v>
      </c>
      <c r="E98" s="11">
        <v>10</v>
      </c>
      <c r="F98" s="11">
        <v>5</v>
      </c>
    </row>
    <row r="99" spans="1:6" x14ac:dyDescent="0.45">
      <c r="A99" s="13" t="s">
        <v>42</v>
      </c>
      <c r="B99" s="14" t="s">
        <v>11</v>
      </c>
      <c r="C99" s="13">
        <v>3</v>
      </c>
      <c r="D99" s="14" t="s">
        <v>79</v>
      </c>
      <c r="E99" s="13">
        <v>6</v>
      </c>
      <c r="F99" s="13">
        <v>3</v>
      </c>
    </row>
    <row r="100" spans="1:6" x14ac:dyDescent="0.45">
      <c r="A100" s="11" t="s">
        <v>42</v>
      </c>
      <c r="B100" s="12" t="s">
        <v>11</v>
      </c>
      <c r="C100" s="11">
        <v>4</v>
      </c>
      <c r="D100" s="12" t="s">
        <v>94</v>
      </c>
      <c r="E100" s="11">
        <v>9</v>
      </c>
      <c r="F100" s="11">
        <v>6</v>
      </c>
    </row>
    <row r="101" spans="1:6" x14ac:dyDescent="0.45">
      <c r="A101" s="13" t="s">
        <v>42</v>
      </c>
      <c r="B101" s="14" t="s">
        <v>11</v>
      </c>
      <c r="C101" s="13">
        <v>8</v>
      </c>
      <c r="D101" s="14" t="s">
        <v>82</v>
      </c>
      <c r="E101" s="13">
        <v>7</v>
      </c>
      <c r="F101" s="13">
        <v>4</v>
      </c>
    </row>
    <row r="102" spans="1:6" x14ac:dyDescent="0.45">
      <c r="A102" s="11" t="s">
        <v>42</v>
      </c>
      <c r="B102" s="12" t="s">
        <v>11</v>
      </c>
      <c r="C102" s="11">
        <v>9</v>
      </c>
      <c r="D102" s="12" t="s">
        <v>83</v>
      </c>
      <c r="E102" s="11">
        <v>8</v>
      </c>
      <c r="F102" s="11">
        <v>6</v>
      </c>
    </row>
    <row r="103" spans="1:6" x14ac:dyDescent="0.45">
      <c r="A103" s="13" t="s">
        <v>42</v>
      </c>
      <c r="B103" s="14" t="s">
        <v>11</v>
      </c>
      <c r="C103" s="13">
        <v>10</v>
      </c>
      <c r="D103" s="14" t="s">
        <v>84</v>
      </c>
      <c r="E103" s="13">
        <v>1</v>
      </c>
      <c r="F103" s="13">
        <v>1</v>
      </c>
    </row>
    <row r="104" spans="1:6" x14ac:dyDescent="0.45">
      <c r="A104" s="11" t="s">
        <v>42</v>
      </c>
      <c r="B104" s="12" t="s">
        <v>11</v>
      </c>
      <c r="C104" s="11">
        <v>15</v>
      </c>
      <c r="D104" s="12" t="s">
        <v>87</v>
      </c>
      <c r="E104" s="11">
        <v>2</v>
      </c>
      <c r="F104" s="11">
        <v>2</v>
      </c>
    </row>
    <row r="105" spans="1:6" x14ac:dyDescent="0.45">
      <c r="A105" s="13" t="s">
        <v>42</v>
      </c>
      <c r="B105" s="14" t="s">
        <v>11</v>
      </c>
      <c r="C105" s="13">
        <v>24</v>
      </c>
      <c r="D105" s="14" t="s">
        <v>91</v>
      </c>
      <c r="E105" s="13">
        <v>3</v>
      </c>
      <c r="F105" s="13">
        <v>2</v>
      </c>
    </row>
    <row r="106" spans="1:6" x14ac:dyDescent="0.45">
      <c r="A106" s="11" t="s">
        <v>42</v>
      </c>
      <c r="B106" s="12" t="s">
        <v>11</v>
      </c>
      <c r="C106" s="11">
        <v>25</v>
      </c>
      <c r="D106" s="12" t="s">
        <v>80</v>
      </c>
      <c r="E106" s="11">
        <v>3</v>
      </c>
      <c r="F106" s="11">
        <v>3</v>
      </c>
    </row>
    <row r="107" spans="1:6" x14ac:dyDescent="0.45">
      <c r="A107" s="13" t="s">
        <v>42</v>
      </c>
      <c r="B107" s="14" t="s">
        <v>11</v>
      </c>
      <c r="C107" s="13">
        <v>92</v>
      </c>
      <c r="D107" s="14" t="s">
        <v>93</v>
      </c>
      <c r="E107" s="13">
        <v>5</v>
      </c>
      <c r="F107" s="13">
        <v>5</v>
      </c>
    </row>
    <row r="108" spans="1:6" x14ac:dyDescent="0.45">
      <c r="A108" s="11" t="s">
        <v>31</v>
      </c>
      <c r="B108" s="12" t="s">
        <v>32</v>
      </c>
      <c r="C108" s="11">
        <v>2</v>
      </c>
      <c r="D108" s="12" t="s">
        <v>78</v>
      </c>
      <c r="E108" s="11">
        <v>13</v>
      </c>
      <c r="F108" s="11">
        <v>10</v>
      </c>
    </row>
    <row r="109" spans="1:6" x14ac:dyDescent="0.45">
      <c r="A109" s="13" t="s">
        <v>31</v>
      </c>
      <c r="B109" s="14" t="s">
        <v>32</v>
      </c>
      <c r="C109" s="13">
        <v>3</v>
      </c>
      <c r="D109" s="14" t="s">
        <v>79</v>
      </c>
      <c r="E109" s="13">
        <v>8</v>
      </c>
      <c r="F109" s="13">
        <v>5</v>
      </c>
    </row>
    <row r="110" spans="1:6" x14ac:dyDescent="0.45">
      <c r="A110" s="11" t="s">
        <v>31</v>
      </c>
      <c r="B110" s="12" t="s">
        <v>32</v>
      </c>
      <c r="C110" s="11">
        <v>9</v>
      </c>
      <c r="D110" s="12" t="s">
        <v>83</v>
      </c>
      <c r="E110" s="11">
        <v>6</v>
      </c>
      <c r="F110" s="11">
        <v>4</v>
      </c>
    </row>
    <row r="111" spans="1:6" x14ac:dyDescent="0.45">
      <c r="A111" s="13" t="s">
        <v>31</v>
      </c>
      <c r="B111" s="14" t="s">
        <v>32</v>
      </c>
      <c r="C111" s="13">
        <v>13</v>
      </c>
      <c r="D111" s="14" t="s">
        <v>86</v>
      </c>
      <c r="E111" s="13">
        <v>6</v>
      </c>
      <c r="F111" s="13">
        <v>2</v>
      </c>
    </row>
    <row r="112" spans="1:6" x14ac:dyDescent="0.45">
      <c r="A112" s="11" t="s">
        <v>31</v>
      </c>
      <c r="B112" s="12" t="s">
        <v>32</v>
      </c>
      <c r="C112" s="11">
        <v>19</v>
      </c>
      <c r="D112" s="12" t="s">
        <v>89</v>
      </c>
      <c r="E112" s="11">
        <v>3</v>
      </c>
      <c r="F112" s="11">
        <v>1</v>
      </c>
    </row>
    <row r="113" spans="1:6" x14ac:dyDescent="0.45">
      <c r="A113" s="13" t="s">
        <v>31</v>
      </c>
      <c r="B113" s="14" t="s">
        <v>32</v>
      </c>
      <c r="C113" s="13">
        <v>24</v>
      </c>
      <c r="D113" s="14" t="s">
        <v>91</v>
      </c>
      <c r="E113" s="13">
        <v>2</v>
      </c>
      <c r="F113" s="13">
        <v>0</v>
      </c>
    </row>
    <row r="114" spans="1:6" x14ac:dyDescent="0.45">
      <c r="A114" s="11" t="s">
        <v>31</v>
      </c>
      <c r="B114" s="12" t="s">
        <v>32</v>
      </c>
      <c r="C114" s="11">
        <v>25</v>
      </c>
      <c r="D114" s="12" t="s">
        <v>80</v>
      </c>
      <c r="E114" s="11">
        <v>2</v>
      </c>
      <c r="F114" s="11">
        <v>2</v>
      </c>
    </row>
    <row r="115" spans="1:6" x14ac:dyDescent="0.45">
      <c r="A115" s="13" t="s">
        <v>31</v>
      </c>
      <c r="B115" s="14" t="s">
        <v>32</v>
      </c>
      <c r="C115" s="13">
        <v>33</v>
      </c>
      <c r="D115" s="14" t="s">
        <v>92</v>
      </c>
      <c r="E115" s="13">
        <v>10</v>
      </c>
      <c r="F115" s="13">
        <v>7</v>
      </c>
    </row>
    <row r="116" spans="1:6" x14ac:dyDescent="0.45">
      <c r="A116" s="11" t="s">
        <v>43</v>
      </c>
      <c r="B116" s="12" t="s">
        <v>16</v>
      </c>
      <c r="C116" s="11">
        <v>2</v>
      </c>
      <c r="D116" s="12" t="s">
        <v>78</v>
      </c>
      <c r="E116" s="11">
        <v>15</v>
      </c>
      <c r="F116" s="11">
        <v>6</v>
      </c>
    </row>
    <row r="117" spans="1:6" x14ac:dyDescent="0.45">
      <c r="A117" s="13" t="s">
        <v>43</v>
      </c>
      <c r="B117" s="14" t="s">
        <v>16</v>
      </c>
      <c r="C117" s="13">
        <v>3</v>
      </c>
      <c r="D117" s="14" t="s">
        <v>79</v>
      </c>
      <c r="E117" s="13">
        <v>7</v>
      </c>
      <c r="F117" s="13">
        <v>5</v>
      </c>
    </row>
    <row r="118" spans="1:6" x14ac:dyDescent="0.45">
      <c r="A118" s="11" t="s">
        <v>43</v>
      </c>
      <c r="B118" s="12" t="s">
        <v>16</v>
      </c>
      <c r="C118" s="11">
        <v>8</v>
      </c>
      <c r="D118" s="12" t="s">
        <v>82</v>
      </c>
      <c r="E118" s="11">
        <v>3</v>
      </c>
      <c r="F118" s="11">
        <v>2</v>
      </c>
    </row>
    <row r="119" spans="1:6" x14ac:dyDescent="0.45">
      <c r="A119" s="13" t="s">
        <v>43</v>
      </c>
      <c r="B119" s="14" t="s">
        <v>16</v>
      </c>
      <c r="C119" s="13">
        <v>9</v>
      </c>
      <c r="D119" s="14" t="s">
        <v>83</v>
      </c>
      <c r="E119" s="13">
        <v>9</v>
      </c>
      <c r="F119" s="13">
        <v>5</v>
      </c>
    </row>
    <row r="120" spans="1:6" x14ac:dyDescent="0.45">
      <c r="A120" s="11" t="s">
        <v>43</v>
      </c>
      <c r="B120" s="12" t="s">
        <v>16</v>
      </c>
      <c r="C120" s="11">
        <v>10</v>
      </c>
      <c r="D120" s="12" t="s">
        <v>84</v>
      </c>
      <c r="E120" s="11">
        <v>1</v>
      </c>
      <c r="F120" s="11">
        <v>0</v>
      </c>
    </row>
    <row r="121" spans="1:6" x14ac:dyDescent="0.45">
      <c r="A121" s="13" t="s">
        <v>43</v>
      </c>
      <c r="B121" s="14" t="s">
        <v>16</v>
      </c>
      <c r="C121" s="13">
        <v>19</v>
      </c>
      <c r="D121" s="14" t="s">
        <v>89</v>
      </c>
      <c r="E121" s="13">
        <v>2</v>
      </c>
      <c r="F121" s="13">
        <v>2</v>
      </c>
    </row>
    <row r="122" spans="1:6" x14ac:dyDescent="0.45">
      <c r="A122" s="11" t="s">
        <v>43</v>
      </c>
      <c r="B122" s="12" t="s">
        <v>16</v>
      </c>
      <c r="C122" s="11">
        <v>24</v>
      </c>
      <c r="D122" s="12" t="s">
        <v>91</v>
      </c>
      <c r="E122" s="11">
        <v>3</v>
      </c>
      <c r="F122" s="11">
        <v>2</v>
      </c>
    </row>
    <row r="123" spans="1:6" x14ac:dyDescent="0.45">
      <c r="A123" s="13" t="s">
        <v>43</v>
      </c>
      <c r="B123" s="14" t="s">
        <v>16</v>
      </c>
      <c r="C123" s="13">
        <v>25</v>
      </c>
      <c r="D123" s="14" t="s">
        <v>80</v>
      </c>
      <c r="E123" s="13">
        <v>2</v>
      </c>
      <c r="F123" s="13">
        <v>0</v>
      </c>
    </row>
    <row r="124" spans="1:6" x14ac:dyDescent="0.45">
      <c r="A124" s="11" t="s">
        <v>43</v>
      </c>
      <c r="B124" s="12" t="s">
        <v>16</v>
      </c>
      <c r="C124" s="11">
        <v>33</v>
      </c>
      <c r="D124" s="12" t="s">
        <v>92</v>
      </c>
      <c r="E124" s="11">
        <v>5</v>
      </c>
      <c r="F124" s="11">
        <v>3</v>
      </c>
    </row>
    <row r="125" spans="1:6" x14ac:dyDescent="0.45">
      <c r="A125" s="13" t="s">
        <v>43</v>
      </c>
      <c r="B125" s="14" t="s">
        <v>16</v>
      </c>
      <c r="C125" s="13">
        <v>92</v>
      </c>
      <c r="D125" s="14" t="s">
        <v>93</v>
      </c>
      <c r="E125" s="13">
        <v>6</v>
      </c>
      <c r="F125" s="13">
        <v>4</v>
      </c>
    </row>
    <row r="126" spans="1:6" x14ac:dyDescent="0.45">
      <c r="A126" s="11" t="s">
        <v>34</v>
      </c>
      <c r="B126" s="12" t="s">
        <v>14</v>
      </c>
      <c r="C126" s="11">
        <v>2</v>
      </c>
      <c r="D126" s="12" t="s">
        <v>78</v>
      </c>
      <c r="E126" s="11">
        <v>14</v>
      </c>
      <c r="F126" s="11">
        <v>5</v>
      </c>
    </row>
    <row r="127" spans="1:6" x14ac:dyDescent="0.45">
      <c r="A127" s="13" t="s">
        <v>34</v>
      </c>
      <c r="B127" s="14" t="s">
        <v>14</v>
      </c>
      <c r="C127" s="13">
        <v>3</v>
      </c>
      <c r="D127" s="14" t="s">
        <v>79</v>
      </c>
      <c r="E127" s="13">
        <v>6</v>
      </c>
      <c r="F127" s="13">
        <v>2</v>
      </c>
    </row>
    <row r="128" spans="1:6" x14ac:dyDescent="0.45">
      <c r="A128" s="11" t="s">
        <v>34</v>
      </c>
      <c r="B128" s="12" t="s">
        <v>14</v>
      </c>
      <c r="C128" s="11">
        <v>9</v>
      </c>
      <c r="D128" s="12" t="s">
        <v>83</v>
      </c>
      <c r="E128" s="11">
        <v>5</v>
      </c>
      <c r="F128" s="11">
        <v>2</v>
      </c>
    </row>
    <row r="129" spans="1:6" x14ac:dyDescent="0.45">
      <c r="A129" s="13" t="s">
        <v>34</v>
      </c>
      <c r="B129" s="14" t="s">
        <v>14</v>
      </c>
      <c r="C129" s="13">
        <v>10</v>
      </c>
      <c r="D129" s="14" t="s">
        <v>84</v>
      </c>
      <c r="E129" s="13">
        <v>2</v>
      </c>
      <c r="F129" s="13">
        <v>0</v>
      </c>
    </row>
    <row r="130" spans="1:6" x14ac:dyDescent="0.45">
      <c r="A130" s="11" t="s">
        <v>34</v>
      </c>
      <c r="B130" s="12" t="s">
        <v>14</v>
      </c>
      <c r="C130" s="11">
        <v>13</v>
      </c>
      <c r="D130" s="12" t="s">
        <v>86</v>
      </c>
      <c r="E130" s="11">
        <v>2</v>
      </c>
      <c r="F130" s="11">
        <v>1</v>
      </c>
    </row>
    <row r="131" spans="1:6" x14ac:dyDescent="0.45">
      <c r="A131" s="13" t="s">
        <v>34</v>
      </c>
      <c r="B131" s="14" t="s">
        <v>14</v>
      </c>
      <c r="C131" s="13">
        <v>19</v>
      </c>
      <c r="D131" s="14" t="s">
        <v>89</v>
      </c>
      <c r="E131" s="13">
        <v>1</v>
      </c>
      <c r="F131" s="13">
        <v>1</v>
      </c>
    </row>
    <row r="132" spans="1:6" x14ac:dyDescent="0.45">
      <c r="A132" s="11" t="s">
        <v>34</v>
      </c>
      <c r="B132" s="12" t="s">
        <v>14</v>
      </c>
      <c r="C132" s="11">
        <v>21</v>
      </c>
      <c r="D132" s="12" t="s">
        <v>90</v>
      </c>
      <c r="E132" s="11">
        <v>1</v>
      </c>
      <c r="F132" s="11">
        <v>1</v>
      </c>
    </row>
    <row r="133" spans="1:6" x14ac:dyDescent="0.45">
      <c r="A133" s="13" t="s">
        <v>34</v>
      </c>
      <c r="B133" s="14" t="s">
        <v>14</v>
      </c>
      <c r="C133" s="13">
        <v>24</v>
      </c>
      <c r="D133" s="14" t="s">
        <v>91</v>
      </c>
      <c r="E133" s="13">
        <v>2</v>
      </c>
      <c r="F133" s="13">
        <v>2</v>
      </c>
    </row>
    <row r="134" spans="1:6" x14ac:dyDescent="0.45">
      <c r="A134" s="11" t="s">
        <v>34</v>
      </c>
      <c r="B134" s="12" t="s">
        <v>14</v>
      </c>
      <c r="C134" s="11">
        <v>25</v>
      </c>
      <c r="D134" s="12" t="s">
        <v>80</v>
      </c>
      <c r="E134" s="11">
        <v>7</v>
      </c>
      <c r="F134" s="11">
        <v>5</v>
      </c>
    </row>
    <row r="135" spans="1:6" x14ac:dyDescent="0.45">
      <c r="A135" s="13" t="s">
        <v>34</v>
      </c>
      <c r="B135" s="14" t="s">
        <v>14</v>
      </c>
      <c r="C135" s="13">
        <v>33</v>
      </c>
      <c r="D135" s="14" t="s">
        <v>92</v>
      </c>
      <c r="E135" s="13">
        <v>10</v>
      </c>
      <c r="F135" s="13">
        <v>4</v>
      </c>
    </row>
    <row r="136" spans="1:6" x14ac:dyDescent="0.45">
      <c r="A136" s="11" t="s">
        <v>34</v>
      </c>
      <c r="B136" s="12" t="s">
        <v>14</v>
      </c>
      <c r="C136" s="11">
        <v>92</v>
      </c>
      <c r="D136" s="12" t="s">
        <v>93</v>
      </c>
      <c r="E136" s="11">
        <v>1</v>
      </c>
      <c r="F136" s="11">
        <v>0</v>
      </c>
    </row>
    <row r="137" spans="1:6" x14ac:dyDescent="0.45">
      <c r="A137" s="13" t="s">
        <v>24</v>
      </c>
      <c r="B137" s="14" t="s">
        <v>25</v>
      </c>
      <c r="C137" s="13">
        <v>2</v>
      </c>
      <c r="D137" s="14" t="s">
        <v>78</v>
      </c>
      <c r="E137" s="13">
        <v>2</v>
      </c>
      <c r="F137" s="13">
        <v>1</v>
      </c>
    </row>
    <row r="138" spans="1:6" x14ac:dyDescent="0.45">
      <c r="A138" s="11" t="s">
        <v>24</v>
      </c>
      <c r="B138" s="12" t="s">
        <v>25</v>
      </c>
      <c r="C138" s="11">
        <v>3</v>
      </c>
      <c r="D138" s="12" t="s">
        <v>79</v>
      </c>
      <c r="E138" s="11">
        <v>6</v>
      </c>
      <c r="F138" s="11">
        <v>3</v>
      </c>
    </row>
    <row r="139" spans="1:6" x14ac:dyDescent="0.45">
      <c r="A139" s="13" t="s">
        <v>24</v>
      </c>
      <c r="B139" s="14" t="s">
        <v>25</v>
      </c>
      <c r="C139" s="13">
        <v>9</v>
      </c>
      <c r="D139" s="14" t="s">
        <v>83</v>
      </c>
      <c r="E139" s="13">
        <v>11</v>
      </c>
      <c r="F139" s="13">
        <v>7</v>
      </c>
    </row>
    <row r="140" spans="1:6" x14ac:dyDescent="0.45">
      <c r="A140" s="11" t="s">
        <v>24</v>
      </c>
      <c r="B140" s="12" t="s">
        <v>25</v>
      </c>
      <c r="C140" s="11">
        <v>15</v>
      </c>
      <c r="D140" s="12" t="s">
        <v>87</v>
      </c>
      <c r="E140" s="11">
        <v>1</v>
      </c>
      <c r="F140" s="11">
        <v>1</v>
      </c>
    </row>
    <row r="141" spans="1:6" x14ac:dyDescent="0.45">
      <c r="A141" s="13" t="s">
        <v>24</v>
      </c>
      <c r="B141" s="14" t="s">
        <v>25</v>
      </c>
      <c r="C141" s="13">
        <v>19</v>
      </c>
      <c r="D141" s="14" t="s">
        <v>89</v>
      </c>
      <c r="E141" s="13">
        <v>5</v>
      </c>
      <c r="F141" s="13">
        <v>4</v>
      </c>
    </row>
    <row r="142" spans="1:6" x14ac:dyDescent="0.45">
      <c r="A142" s="11" t="s">
        <v>24</v>
      </c>
      <c r="B142" s="12" t="s">
        <v>25</v>
      </c>
      <c r="C142" s="11">
        <v>24</v>
      </c>
      <c r="D142" s="12" t="s">
        <v>91</v>
      </c>
      <c r="E142" s="11">
        <v>5</v>
      </c>
      <c r="F142" s="11">
        <v>5</v>
      </c>
    </row>
    <row r="143" spans="1:6" x14ac:dyDescent="0.45">
      <c r="A143" s="13" t="s">
        <v>24</v>
      </c>
      <c r="B143" s="14" t="s">
        <v>25</v>
      </c>
      <c r="C143" s="13">
        <v>25</v>
      </c>
      <c r="D143" s="14" t="s">
        <v>80</v>
      </c>
      <c r="E143" s="13">
        <v>1</v>
      </c>
      <c r="F143" s="13">
        <v>1</v>
      </c>
    </row>
    <row r="144" spans="1:6" x14ac:dyDescent="0.45">
      <c r="A144" s="11" t="s">
        <v>24</v>
      </c>
      <c r="B144" s="12" t="s">
        <v>25</v>
      </c>
      <c r="C144" s="11">
        <v>4</v>
      </c>
      <c r="D144" s="12" t="s">
        <v>94</v>
      </c>
      <c r="E144" s="11">
        <v>4</v>
      </c>
      <c r="F144" s="11">
        <v>4</v>
      </c>
    </row>
    <row r="145" spans="1:6" x14ac:dyDescent="0.45">
      <c r="A145" s="13" t="s">
        <v>24</v>
      </c>
      <c r="B145" s="14" t="s">
        <v>25</v>
      </c>
      <c r="C145" s="13">
        <v>33</v>
      </c>
      <c r="D145" s="14" t="s">
        <v>92</v>
      </c>
      <c r="E145" s="13">
        <v>12</v>
      </c>
      <c r="F145" s="13">
        <v>5</v>
      </c>
    </row>
    <row r="146" spans="1:6" x14ac:dyDescent="0.45">
      <c r="A146" s="11" t="s">
        <v>19</v>
      </c>
      <c r="B146" s="12" t="s">
        <v>5</v>
      </c>
      <c r="C146" s="11">
        <v>2</v>
      </c>
      <c r="D146" s="12" t="s">
        <v>78</v>
      </c>
      <c r="E146" s="11">
        <v>10</v>
      </c>
      <c r="F146" s="11">
        <v>5</v>
      </c>
    </row>
    <row r="147" spans="1:6" x14ac:dyDescent="0.45">
      <c r="A147" s="13" t="s">
        <v>19</v>
      </c>
      <c r="B147" s="14" t="s">
        <v>5</v>
      </c>
      <c r="C147" s="13">
        <v>3</v>
      </c>
      <c r="D147" s="14" t="s">
        <v>79</v>
      </c>
      <c r="E147" s="13">
        <v>5</v>
      </c>
      <c r="F147" s="13">
        <v>4</v>
      </c>
    </row>
    <row r="148" spans="1:6" x14ac:dyDescent="0.45">
      <c r="A148" s="11" t="s">
        <v>19</v>
      </c>
      <c r="B148" s="12" t="s">
        <v>5</v>
      </c>
      <c r="C148" s="11">
        <v>7</v>
      </c>
      <c r="D148" s="12" t="s">
        <v>81</v>
      </c>
      <c r="E148" s="11">
        <v>2</v>
      </c>
      <c r="F148" s="11">
        <v>2</v>
      </c>
    </row>
    <row r="149" spans="1:6" x14ac:dyDescent="0.45">
      <c r="A149" s="13" t="s">
        <v>19</v>
      </c>
      <c r="B149" s="14" t="s">
        <v>5</v>
      </c>
      <c r="C149" s="13">
        <v>9</v>
      </c>
      <c r="D149" s="14" t="s">
        <v>83</v>
      </c>
      <c r="E149" s="13">
        <v>8</v>
      </c>
      <c r="F149" s="13">
        <v>3</v>
      </c>
    </row>
    <row r="150" spans="1:6" x14ac:dyDescent="0.45">
      <c r="A150" s="11" t="s">
        <v>19</v>
      </c>
      <c r="B150" s="12" t="s">
        <v>5</v>
      </c>
      <c r="C150" s="11">
        <v>13</v>
      </c>
      <c r="D150" s="12" t="s">
        <v>86</v>
      </c>
      <c r="E150" s="11">
        <v>3</v>
      </c>
      <c r="F150" s="11">
        <v>0</v>
      </c>
    </row>
    <row r="151" spans="1:6" x14ac:dyDescent="0.45">
      <c r="A151" s="13" t="s">
        <v>19</v>
      </c>
      <c r="B151" s="14" t="s">
        <v>5</v>
      </c>
      <c r="C151" s="13">
        <v>15</v>
      </c>
      <c r="D151" s="14" t="s">
        <v>87</v>
      </c>
      <c r="E151" s="13">
        <v>1</v>
      </c>
      <c r="F151" s="13">
        <v>1</v>
      </c>
    </row>
    <row r="152" spans="1:6" x14ac:dyDescent="0.45">
      <c r="A152" s="11" t="s">
        <v>19</v>
      </c>
      <c r="B152" s="12" t="s">
        <v>5</v>
      </c>
      <c r="C152" s="11">
        <v>19</v>
      </c>
      <c r="D152" s="12" t="s">
        <v>89</v>
      </c>
      <c r="E152" s="11">
        <v>1</v>
      </c>
      <c r="F152" s="11">
        <v>1</v>
      </c>
    </row>
    <row r="153" spans="1:6" x14ac:dyDescent="0.45">
      <c r="A153" s="13" t="s">
        <v>19</v>
      </c>
      <c r="B153" s="14" t="s">
        <v>5</v>
      </c>
      <c r="C153" s="13">
        <v>24</v>
      </c>
      <c r="D153" s="14" t="s">
        <v>91</v>
      </c>
      <c r="E153" s="13">
        <v>2</v>
      </c>
      <c r="F153" s="13">
        <v>2</v>
      </c>
    </row>
    <row r="154" spans="1:6" x14ac:dyDescent="0.45">
      <c r="A154" s="11" t="s">
        <v>19</v>
      </c>
      <c r="B154" s="12" t="s">
        <v>5</v>
      </c>
      <c r="C154" s="11">
        <v>25</v>
      </c>
      <c r="D154" s="12" t="s">
        <v>80</v>
      </c>
      <c r="E154" s="11">
        <v>2</v>
      </c>
      <c r="F154" s="11">
        <v>2</v>
      </c>
    </row>
    <row r="155" spans="1:6" x14ac:dyDescent="0.45">
      <c r="A155" s="13" t="s">
        <v>19</v>
      </c>
      <c r="B155" s="14" t="s">
        <v>5</v>
      </c>
      <c r="C155" s="11">
        <v>4</v>
      </c>
      <c r="D155" s="12" t="s">
        <v>94</v>
      </c>
      <c r="E155" s="13">
        <v>3</v>
      </c>
      <c r="F155" s="13">
        <v>2</v>
      </c>
    </row>
    <row r="156" spans="1:6" x14ac:dyDescent="0.45">
      <c r="A156" s="11" t="s">
        <v>19</v>
      </c>
      <c r="B156" s="12" t="s">
        <v>5</v>
      </c>
      <c r="C156" s="11">
        <v>33</v>
      </c>
      <c r="D156" s="12" t="s">
        <v>92</v>
      </c>
      <c r="E156" s="11">
        <v>7</v>
      </c>
      <c r="F156" s="11">
        <v>5</v>
      </c>
    </row>
    <row r="157" spans="1:6" x14ac:dyDescent="0.45">
      <c r="A157" s="13" t="s">
        <v>19</v>
      </c>
      <c r="B157" s="14" t="s">
        <v>5</v>
      </c>
      <c r="C157" s="13">
        <v>92</v>
      </c>
      <c r="D157" s="14" t="s">
        <v>93</v>
      </c>
      <c r="E157" s="13">
        <v>2</v>
      </c>
      <c r="F157" s="13">
        <v>2</v>
      </c>
    </row>
    <row r="158" spans="1:6" x14ac:dyDescent="0.45">
      <c r="A158" s="11" t="s">
        <v>20</v>
      </c>
      <c r="B158" s="12" t="s">
        <v>6</v>
      </c>
      <c r="C158" s="11">
        <v>2</v>
      </c>
      <c r="D158" s="12" t="s">
        <v>78</v>
      </c>
      <c r="E158" s="11">
        <v>11</v>
      </c>
      <c r="F158" s="11">
        <v>5</v>
      </c>
    </row>
    <row r="159" spans="1:6" x14ac:dyDescent="0.45">
      <c r="A159" s="13" t="s">
        <v>20</v>
      </c>
      <c r="B159" s="14" t="s">
        <v>6</v>
      </c>
      <c r="C159" s="13">
        <v>3</v>
      </c>
      <c r="D159" s="14" t="s">
        <v>79</v>
      </c>
      <c r="E159" s="13">
        <v>6</v>
      </c>
      <c r="F159" s="13">
        <v>4</v>
      </c>
    </row>
    <row r="160" spans="1:6" x14ac:dyDescent="0.45">
      <c r="A160" s="11" t="s">
        <v>20</v>
      </c>
      <c r="B160" s="12" t="s">
        <v>6</v>
      </c>
      <c r="C160" s="11">
        <v>7</v>
      </c>
      <c r="D160" s="12" t="s">
        <v>81</v>
      </c>
      <c r="E160" s="11">
        <v>1</v>
      </c>
      <c r="F160" s="11">
        <v>1</v>
      </c>
    </row>
    <row r="161" spans="1:6" x14ac:dyDescent="0.45">
      <c r="A161" s="13" t="s">
        <v>20</v>
      </c>
      <c r="B161" s="14" t="s">
        <v>6</v>
      </c>
      <c r="C161" s="13">
        <v>9</v>
      </c>
      <c r="D161" s="14" t="s">
        <v>83</v>
      </c>
      <c r="E161" s="13">
        <v>7</v>
      </c>
      <c r="F161" s="13">
        <v>4</v>
      </c>
    </row>
    <row r="162" spans="1:6" x14ac:dyDescent="0.45">
      <c r="A162" s="11" t="s">
        <v>20</v>
      </c>
      <c r="B162" s="12" t="s">
        <v>6</v>
      </c>
      <c r="C162" s="11">
        <v>21</v>
      </c>
      <c r="D162" s="12" t="s">
        <v>90</v>
      </c>
      <c r="E162" s="11">
        <v>1</v>
      </c>
      <c r="F162" s="11">
        <v>0</v>
      </c>
    </row>
    <row r="163" spans="1:6" x14ac:dyDescent="0.45">
      <c r="A163" s="13" t="s">
        <v>20</v>
      </c>
      <c r="B163" s="14" t="s">
        <v>6</v>
      </c>
      <c r="C163" s="13">
        <v>24</v>
      </c>
      <c r="D163" s="14" t="s">
        <v>91</v>
      </c>
      <c r="E163" s="13">
        <v>2</v>
      </c>
      <c r="F163" s="13">
        <v>2</v>
      </c>
    </row>
    <row r="164" spans="1:6" x14ac:dyDescent="0.45">
      <c r="A164" s="11" t="s">
        <v>20</v>
      </c>
      <c r="B164" s="12" t="s">
        <v>6</v>
      </c>
      <c r="C164" s="11">
        <v>25</v>
      </c>
      <c r="D164" s="12" t="s">
        <v>80</v>
      </c>
      <c r="E164" s="11">
        <v>5</v>
      </c>
      <c r="F164" s="11">
        <v>5</v>
      </c>
    </row>
    <row r="165" spans="1:6" x14ac:dyDescent="0.45">
      <c r="A165" s="13" t="s">
        <v>20</v>
      </c>
      <c r="B165" s="14" t="s">
        <v>6</v>
      </c>
      <c r="C165" s="11">
        <v>4</v>
      </c>
      <c r="D165" s="12" t="s">
        <v>94</v>
      </c>
      <c r="E165" s="13">
        <v>1</v>
      </c>
      <c r="F165" s="13">
        <v>1</v>
      </c>
    </row>
    <row r="166" spans="1:6" x14ac:dyDescent="0.45">
      <c r="A166" s="11" t="s">
        <v>20</v>
      </c>
      <c r="B166" s="12" t="s">
        <v>6</v>
      </c>
      <c r="C166" s="11">
        <v>33</v>
      </c>
      <c r="D166" s="12" t="s">
        <v>92</v>
      </c>
      <c r="E166" s="11">
        <v>13</v>
      </c>
      <c r="F166" s="11">
        <v>7</v>
      </c>
    </row>
    <row r="167" spans="1:6" x14ac:dyDescent="0.45">
      <c r="A167" s="13" t="s">
        <v>20</v>
      </c>
      <c r="B167" s="14" t="s">
        <v>6</v>
      </c>
      <c r="C167" s="13">
        <v>92</v>
      </c>
      <c r="D167" s="14" t="s">
        <v>93</v>
      </c>
      <c r="E167" s="13">
        <v>4</v>
      </c>
      <c r="F167" s="13">
        <v>2</v>
      </c>
    </row>
    <row r="168" spans="1:6" x14ac:dyDescent="0.45">
      <c r="A168" s="11" t="s">
        <v>27</v>
      </c>
      <c r="B168" s="12" t="s">
        <v>28</v>
      </c>
      <c r="C168" s="11">
        <v>2</v>
      </c>
      <c r="D168" s="12" t="s">
        <v>78</v>
      </c>
      <c r="E168" s="11">
        <v>10</v>
      </c>
      <c r="F168" s="11">
        <v>4</v>
      </c>
    </row>
    <row r="169" spans="1:6" x14ac:dyDescent="0.45">
      <c r="A169" s="13" t="s">
        <v>27</v>
      </c>
      <c r="B169" s="14" t="s">
        <v>28</v>
      </c>
      <c r="C169" s="13">
        <v>3</v>
      </c>
      <c r="D169" s="14" t="s">
        <v>79</v>
      </c>
      <c r="E169" s="13">
        <v>7</v>
      </c>
      <c r="F169" s="13">
        <v>5</v>
      </c>
    </row>
    <row r="170" spans="1:6" x14ac:dyDescent="0.45">
      <c r="A170" s="11" t="s">
        <v>27</v>
      </c>
      <c r="B170" s="12" t="s">
        <v>28</v>
      </c>
      <c r="C170" s="11">
        <v>7</v>
      </c>
      <c r="D170" s="12" t="s">
        <v>81</v>
      </c>
      <c r="E170" s="11">
        <v>2</v>
      </c>
      <c r="F170" s="11">
        <v>1</v>
      </c>
    </row>
    <row r="171" spans="1:6" x14ac:dyDescent="0.45">
      <c r="A171" s="13" t="s">
        <v>27</v>
      </c>
      <c r="B171" s="14" t="s">
        <v>28</v>
      </c>
      <c r="C171" s="13">
        <v>9</v>
      </c>
      <c r="D171" s="14" t="s">
        <v>83</v>
      </c>
      <c r="E171" s="13">
        <v>7</v>
      </c>
      <c r="F171" s="13">
        <v>5</v>
      </c>
    </row>
    <row r="172" spans="1:6" x14ac:dyDescent="0.45">
      <c r="A172" s="11" t="s">
        <v>27</v>
      </c>
      <c r="B172" s="12" t="s">
        <v>28</v>
      </c>
      <c r="C172" s="11">
        <v>19</v>
      </c>
      <c r="D172" s="12" t="s">
        <v>89</v>
      </c>
      <c r="E172" s="11">
        <v>2</v>
      </c>
      <c r="F172" s="11">
        <v>1</v>
      </c>
    </row>
    <row r="173" spans="1:6" x14ac:dyDescent="0.45">
      <c r="A173" s="13" t="s">
        <v>27</v>
      </c>
      <c r="B173" s="14" t="s">
        <v>28</v>
      </c>
      <c r="C173" s="13">
        <v>25</v>
      </c>
      <c r="D173" s="14" t="s">
        <v>80</v>
      </c>
      <c r="E173" s="13">
        <v>11</v>
      </c>
      <c r="F173" s="13">
        <v>9</v>
      </c>
    </row>
    <row r="174" spans="1:6" x14ac:dyDescent="0.45">
      <c r="A174" s="11" t="s">
        <v>27</v>
      </c>
      <c r="B174" s="12" t="s">
        <v>28</v>
      </c>
      <c r="C174" s="11">
        <v>4</v>
      </c>
      <c r="D174" s="12" t="s">
        <v>94</v>
      </c>
      <c r="E174" s="11">
        <v>4</v>
      </c>
      <c r="F174" s="11">
        <v>3</v>
      </c>
    </row>
    <row r="175" spans="1:6" x14ac:dyDescent="0.45">
      <c r="A175" s="13" t="s">
        <v>27</v>
      </c>
      <c r="B175" s="14" t="s">
        <v>28</v>
      </c>
      <c r="C175" s="13">
        <v>33</v>
      </c>
      <c r="D175" s="14" t="s">
        <v>92</v>
      </c>
      <c r="E175" s="13">
        <v>5</v>
      </c>
      <c r="F175" s="13">
        <v>1</v>
      </c>
    </row>
    <row r="176" spans="1:6" x14ac:dyDescent="0.45">
      <c r="A176" s="11" t="s">
        <v>35</v>
      </c>
      <c r="B176" s="12" t="s">
        <v>15</v>
      </c>
      <c r="C176" s="11">
        <v>2</v>
      </c>
      <c r="D176" s="12" t="s">
        <v>78</v>
      </c>
      <c r="E176" s="11">
        <v>11</v>
      </c>
      <c r="F176" s="11">
        <v>7</v>
      </c>
    </row>
    <row r="177" spans="1:6" x14ac:dyDescent="0.45">
      <c r="A177" s="13" t="s">
        <v>35</v>
      </c>
      <c r="B177" s="14" t="s">
        <v>15</v>
      </c>
      <c r="C177" s="13">
        <v>3</v>
      </c>
      <c r="D177" s="14" t="s">
        <v>79</v>
      </c>
      <c r="E177" s="13">
        <v>7</v>
      </c>
      <c r="F177" s="13">
        <v>4</v>
      </c>
    </row>
    <row r="178" spans="1:6" x14ac:dyDescent="0.45">
      <c r="A178" s="11" t="s">
        <v>35</v>
      </c>
      <c r="B178" s="12" t="s">
        <v>15</v>
      </c>
      <c r="C178" s="11">
        <v>9</v>
      </c>
      <c r="D178" s="12" t="s">
        <v>83</v>
      </c>
      <c r="E178" s="11">
        <v>7</v>
      </c>
      <c r="F178" s="11">
        <v>5</v>
      </c>
    </row>
    <row r="179" spans="1:6" x14ac:dyDescent="0.45">
      <c r="A179" s="13" t="s">
        <v>35</v>
      </c>
      <c r="B179" s="14" t="s">
        <v>15</v>
      </c>
      <c r="C179" s="13">
        <v>10</v>
      </c>
      <c r="D179" s="14" t="s">
        <v>84</v>
      </c>
      <c r="E179" s="13">
        <v>2</v>
      </c>
      <c r="F179" s="13">
        <v>1</v>
      </c>
    </row>
    <row r="180" spans="1:6" x14ac:dyDescent="0.45">
      <c r="A180" s="11" t="s">
        <v>35</v>
      </c>
      <c r="B180" s="12" t="s">
        <v>15</v>
      </c>
      <c r="C180" s="11">
        <v>15</v>
      </c>
      <c r="D180" s="12" t="s">
        <v>87</v>
      </c>
      <c r="E180" s="11">
        <v>2</v>
      </c>
      <c r="F180" s="11">
        <v>1</v>
      </c>
    </row>
    <row r="181" spans="1:6" x14ac:dyDescent="0.45">
      <c r="A181" s="13" t="s">
        <v>35</v>
      </c>
      <c r="B181" s="14" t="s">
        <v>15</v>
      </c>
      <c r="C181" s="13">
        <v>19</v>
      </c>
      <c r="D181" s="14" t="s">
        <v>89</v>
      </c>
      <c r="E181" s="13">
        <v>1</v>
      </c>
      <c r="F181" s="13">
        <v>1</v>
      </c>
    </row>
    <row r="182" spans="1:6" x14ac:dyDescent="0.45">
      <c r="A182" s="11" t="s">
        <v>35</v>
      </c>
      <c r="B182" s="12" t="s">
        <v>15</v>
      </c>
      <c r="C182" s="11">
        <v>25</v>
      </c>
      <c r="D182" s="12" t="s">
        <v>80</v>
      </c>
      <c r="E182" s="11">
        <v>4</v>
      </c>
      <c r="F182" s="11">
        <v>3</v>
      </c>
    </row>
    <row r="183" spans="1:6" x14ac:dyDescent="0.45">
      <c r="A183" s="13" t="s">
        <v>35</v>
      </c>
      <c r="B183" s="14" t="s">
        <v>15</v>
      </c>
      <c r="C183" s="11">
        <v>4</v>
      </c>
      <c r="D183" s="12" t="s">
        <v>94</v>
      </c>
      <c r="E183" s="13">
        <v>4</v>
      </c>
      <c r="F183" s="13">
        <v>4</v>
      </c>
    </row>
    <row r="184" spans="1:6" x14ac:dyDescent="0.45">
      <c r="A184" s="11" t="s">
        <v>35</v>
      </c>
      <c r="B184" s="12" t="s">
        <v>15</v>
      </c>
      <c r="C184" s="11">
        <v>33</v>
      </c>
      <c r="D184" s="12" t="s">
        <v>92</v>
      </c>
      <c r="E184" s="11">
        <v>10</v>
      </c>
      <c r="F184" s="11">
        <v>7</v>
      </c>
    </row>
    <row r="185" spans="1:6" x14ac:dyDescent="0.45">
      <c r="A185" s="13" t="s">
        <v>35</v>
      </c>
      <c r="B185" s="14" t="s">
        <v>15</v>
      </c>
      <c r="C185" s="13">
        <v>92</v>
      </c>
      <c r="D185" s="14" t="s">
        <v>93</v>
      </c>
      <c r="E185" s="13">
        <v>2</v>
      </c>
      <c r="F185" s="13">
        <v>2</v>
      </c>
    </row>
    <row r="186" spans="1:6" x14ac:dyDescent="0.45">
      <c r="A186" s="11" t="s">
        <v>18</v>
      </c>
      <c r="B186" s="12" t="s">
        <v>3</v>
      </c>
      <c r="C186" s="11">
        <v>2</v>
      </c>
      <c r="D186" s="12" t="s">
        <v>78</v>
      </c>
      <c r="E186" s="11">
        <v>14</v>
      </c>
      <c r="F186" s="11">
        <v>6</v>
      </c>
    </row>
    <row r="187" spans="1:6" x14ac:dyDescent="0.45">
      <c r="A187" s="13" t="s">
        <v>18</v>
      </c>
      <c r="B187" s="14" t="s">
        <v>3</v>
      </c>
      <c r="C187" s="13">
        <v>3</v>
      </c>
      <c r="D187" s="14" t="s">
        <v>79</v>
      </c>
      <c r="E187" s="13">
        <v>3</v>
      </c>
      <c r="F187" s="13">
        <v>2</v>
      </c>
    </row>
    <row r="188" spans="1:6" x14ac:dyDescent="0.45">
      <c r="A188" s="11" t="s">
        <v>18</v>
      </c>
      <c r="B188" s="12" t="s">
        <v>3</v>
      </c>
      <c r="C188" s="11">
        <v>8</v>
      </c>
      <c r="D188" s="12" t="s">
        <v>82</v>
      </c>
      <c r="E188" s="11">
        <v>3</v>
      </c>
      <c r="F188" s="11">
        <v>0</v>
      </c>
    </row>
    <row r="189" spans="1:6" x14ac:dyDescent="0.45">
      <c r="A189" s="13" t="s">
        <v>18</v>
      </c>
      <c r="B189" s="14" t="s">
        <v>3</v>
      </c>
      <c r="C189" s="13">
        <v>9</v>
      </c>
      <c r="D189" s="14" t="s">
        <v>83</v>
      </c>
      <c r="E189" s="13">
        <v>9</v>
      </c>
      <c r="F189" s="13">
        <v>4</v>
      </c>
    </row>
    <row r="190" spans="1:6" x14ac:dyDescent="0.45">
      <c r="A190" s="11" t="s">
        <v>18</v>
      </c>
      <c r="B190" s="12" t="s">
        <v>3</v>
      </c>
      <c r="C190" s="11">
        <v>15</v>
      </c>
      <c r="D190" s="12" t="s">
        <v>87</v>
      </c>
      <c r="E190" s="11">
        <v>2</v>
      </c>
      <c r="F190" s="11">
        <v>1</v>
      </c>
    </row>
    <row r="191" spans="1:6" x14ac:dyDescent="0.45">
      <c r="A191" s="13" t="s">
        <v>18</v>
      </c>
      <c r="B191" s="14" t="s">
        <v>3</v>
      </c>
      <c r="C191" s="13">
        <v>19</v>
      </c>
      <c r="D191" s="14" t="s">
        <v>89</v>
      </c>
      <c r="E191" s="13">
        <v>5</v>
      </c>
      <c r="F191" s="13">
        <v>4</v>
      </c>
    </row>
    <row r="192" spans="1:6" x14ac:dyDescent="0.45">
      <c r="A192" s="11" t="s">
        <v>18</v>
      </c>
      <c r="B192" s="12" t="s">
        <v>3</v>
      </c>
      <c r="C192" s="11">
        <v>21</v>
      </c>
      <c r="D192" s="12" t="s">
        <v>90</v>
      </c>
      <c r="E192" s="11">
        <v>1</v>
      </c>
      <c r="F192" s="11">
        <v>1</v>
      </c>
    </row>
    <row r="193" spans="1:6" x14ac:dyDescent="0.45">
      <c r="A193" s="13" t="s">
        <v>18</v>
      </c>
      <c r="B193" s="14" t="s">
        <v>3</v>
      </c>
      <c r="C193" s="13">
        <v>25</v>
      </c>
      <c r="D193" s="14" t="s">
        <v>80</v>
      </c>
      <c r="E193" s="13">
        <v>7</v>
      </c>
      <c r="F193" s="13">
        <v>5</v>
      </c>
    </row>
    <row r="194" spans="1:6" x14ac:dyDescent="0.45">
      <c r="A194" s="11" t="s">
        <v>18</v>
      </c>
      <c r="B194" s="12" t="s">
        <v>3</v>
      </c>
      <c r="C194" s="11">
        <v>92</v>
      </c>
      <c r="D194" s="12" t="s">
        <v>93</v>
      </c>
      <c r="E194" s="11">
        <v>1</v>
      </c>
      <c r="F194" s="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C6A3-D6F8-40C7-876A-7D69D758651E}">
  <dimension ref="A1:D41"/>
  <sheetViews>
    <sheetView tabSelected="1" topLeftCell="A24" workbookViewId="0">
      <selection activeCell="A42" sqref="A42:XFD45"/>
    </sheetView>
  </sheetViews>
  <sheetFormatPr baseColWidth="10" defaultRowHeight="14.25" x14ac:dyDescent="0.45"/>
  <cols>
    <col min="3" max="3" width="14.33203125" bestFit="1" customWidth="1"/>
  </cols>
  <sheetData>
    <row r="1" spans="1:4" x14ac:dyDescent="0.45">
      <c r="A1" t="s">
        <v>17</v>
      </c>
      <c r="B1" t="s">
        <v>0</v>
      </c>
      <c r="C1" t="s">
        <v>1</v>
      </c>
      <c r="D1" t="s">
        <v>2</v>
      </c>
    </row>
    <row r="2" spans="1:4" x14ac:dyDescent="0.45">
      <c r="A2" t="s">
        <v>21</v>
      </c>
      <c r="B2" t="s">
        <v>8</v>
      </c>
      <c r="C2" t="s">
        <v>71</v>
      </c>
      <c r="D2">
        <v>9</v>
      </c>
    </row>
    <row r="3" spans="1:4" x14ac:dyDescent="0.45">
      <c r="A3" t="s">
        <v>21</v>
      </c>
      <c r="B3" t="s">
        <v>8</v>
      </c>
      <c r="C3" t="s">
        <v>72</v>
      </c>
      <c r="D3">
        <v>0</v>
      </c>
    </row>
    <row r="4" spans="1:4" x14ac:dyDescent="0.45">
      <c r="A4" t="s">
        <v>26</v>
      </c>
      <c r="B4" t="s">
        <v>10</v>
      </c>
      <c r="C4" t="s">
        <v>71</v>
      </c>
      <c r="D4">
        <v>11</v>
      </c>
    </row>
    <row r="5" spans="1:4" x14ac:dyDescent="0.45">
      <c r="A5" t="s">
        <v>26</v>
      </c>
      <c r="B5" t="s">
        <v>10</v>
      </c>
      <c r="C5" t="s">
        <v>72</v>
      </c>
      <c r="D5">
        <v>0</v>
      </c>
    </row>
    <row r="6" spans="1:4" x14ac:dyDescent="0.45">
      <c r="A6" t="s">
        <v>33</v>
      </c>
      <c r="B6" t="s">
        <v>13</v>
      </c>
      <c r="C6" t="s">
        <v>71</v>
      </c>
      <c r="D6">
        <v>0</v>
      </c>
    </row>
    <row r="7" spans="1:4" x14ac:dyDescent="0.45">
      <c r="A7" t="s">
        <v>33</v>
      </c>
      <c r="B7" t="s">
        <v>13</v>
      </c>
      <c r="C7" t="s">
        <v>72</v>
      </c>
      <c r="D7">
        <v>12</v>
      </c>
    </row>
    <row r="8" spans="1:4" x14ac:dyDescent="0.45">
      <c r="A8" t="s">
        <v>29</v>
      </c>
      <c r="B8" t="s">
        <v>30</v>
      </c>
      <c r="C8" t="s">
        <v>71</v>
      </c>
      <c r="D8">
        <v>8</v>
      </c>
    </row>
    <row r="9" spans="1:4" x14ac:dyDescent="0.45">
      <c r="A9" t="s">
        <v>29</v>
      </c>
      <c r="B9" t="s">
        <v>30</v>
      </c>
      <c r="C9" t="s">
        <v>72</v>
      </c>
      <c r="D9">
        <v>2</v>
      </c>
    </row>
    <row r="10" spans="1:4" x14ac:dyDescent="0.45">
      <c r="A10" t="s">
        <v>22</v>
      </c>
      <c r="B10" t="s">
        <v>23</v>
      </c>
      <c r="C10" t="s">
        <v>71</v>
      </c>
      <c r="D10">
        <v>7</v>
      </c>
    </row>
    <row r="11" spans="1:4" x14ac:dyDescent="0.45">
      <c r="A11" t="s">
        <v>22</v>
      </c>
      <c r="B11" t="s">
        <v>23</v>
      </c>
      <c r="C11" t="s">
        <v>72</v>
      </c>
      <c r="D11">
        <v>2</v>
      </c>
    </row>
    <row r="12" spans="1:4" x14ac:dyDescent="0.45">
      <c r="A12" t="s">
        <v>36</v>
      </c>
      <c r="B12" t="s">
        <v>9</v>
      </c>
      <c r="C12" t="s">
        <v>71</v>
      </c>
      <c r="D12">
        <v>8</v>
      </c>
    </row>
    <row r="13" spans="1:4" x14ac:dyDescent="0.45">
      <c r="A13" t="s">
        <v>36</v>
      </c>
      <c r="B13" t="s">
        <v>9</v>
      </c>
      <c r="C13" t="s">
        <v>72</v>
      </c>
      <c r="D13">
        <v>0</v>
      </c>
    </row>
    <row r="14" spans="1:4" x14ac:dyDescent="0.45">
      <c r="A14" t="s">
        <v>37</v>
      </c>
      <c r="B14" t="s">
        <v>12</v>
      </c>
      <c r="C14" t="s">
        <v>71</v>
      </c>
      <c r="D14">
        <v>6</v>
      </c>
    </row>
    <row r="15" spans="1:4" x14ac:dyDescent="0.45">
      <c r="A15" t="s">
        <v>37</v>
      </c>
      <c r="B15" t="s">
        <v>12</v>
      </c>
      <c r="C15" t="s">
        <v>72</v>
      </c>
      <c r="D15">
        <v>4</v>
      </c>
    </row>
    <row r="16" spans="1:4" x14ac:dyDescent="0.45">
      <c r="A16" t="s">
        <v>38</v>
      </c>
      <c r="B16" t="s">
        <v>39</v>
      </c>
      <c r="C16" t="s">
        <v>71</v>
      </c>
      <c r="D16">
        <v>5</v>
      </c>
    </row>
    <row r="17" spans="1:4" x14ac:dyDescent="0.45">
      <c r="A17" t="s">
        <v>38</v>
      </c>
      <c r="B17" t="s">
        <v>39</v>
      </c>
      <c r="C17" t="s">
        <v>72</v>
      </c>
      <c r="D17">
        <v>6</v>
      </c>
    </row>
    <row r="18" spans="1:4" x14ac:dyDescent="0.45">
      <c r="A18" t="s">
        <v>40</v>
      </c>
      <c r="B18" t="s">
        <v>4</v>
      </c>
      <c r="C18" t="s">
        <v>71</v>
      </c>
      <c r="D18">
        <v>7</v>
      </c>
    </row>
    <row r="19" spans="1:4" x14ac:dyDescent="0.45">
      <c r="A19" t="s">
        <v>40</v>
      </c>
      <c r="B19" t="s">
        <v>4</v>
      </c>
      <c r="C19" t="s">
        <v>72</v>
      </c>
      <c r="D19">
        <v>5</v>
      </c>
    </row>
    <row r="20" spans="1:4" x14ac:dyDescent="0.45">
      <c r="A20" t="s">
        <v>41</v>
      </c>
      <c r="B20" t="s">
        <v>7</v>
      </c>
      <c r="C20" t="s">
        <v>71</v>
      </c>
      <c r="D20">
        <v>6</v>
      </c>
    </row>
    <row r="21" spans="1:4" x14ac:dyDescent="0.45">
      <c r="A21" t="s">
        <v>41</v>
      </c>
      <c r="B21" t="s">
        <v>7</v>
      </c>
      <c r="C21" t="s">
        <v>72</v>
      </c>
      <c r="D21">
        <v>4</v>
      </c>
    </row>
    <row r="22" spans="1:4" x14ac:dyDescent="0.45">
      <c r="A22" t="s">
        <v>42</v>
      </c>
      <c r="B22" t="s">
        <v>11</v>
      </c>
      <c r="C22" t="s">
        <v>71</v>
      </c>
      <c r="D22">
        <v>7</v>
      </c>
    </row>
    <row r="23" spans="1:4" x14ac:dyDescent="0.45">
      <c r="A23" t="s">
        <v>42</v>
      </c>
      <c r="B23" t="s">
        <v>11</v>
      </c>
      <c r="C23" t="s">
        <v>72</v>
      </c>
      <c r="D23">
        <v>7</v>
      </c>
    </row>
    <row r="24" spans="1:4" x14ac:dyDescent="0.45">
      <c r="A24" t="s">
        <v>31</v>
      </c>
      <c r="B24" t="s">
        <v>32</v>
      </c>
      <c r="C24" t="s">
        <v>71</v>
      </c>
      <c r="D24">
        <v>15</v>
      </c>
    </row>
    <row r="25" spans="1:4" x14ac:dyDescent="0.45">
      <c r="A25" t="s">
        <v>31</v>
      </c>
      <c r="B25" t="s">
        <v>32</v>
      </c>
      <c r="C25" t="s">
        <v>72</v>
      </c>
      <c r="D25">
        <v>0</v>
      </c>
    </row>
    <row r="26" spans="1:4" x14ac:dyDescent="0.45">
      <c r="A26" t="s">
        <v>43</v>
      </c>
      <c r="B26" t="s">
        <v>16</v>
      </c>
      <c r="C26" t="s">
        <v>71</v>
      </c>
      <c r="D26">
        <v>9</v>
      </c>
    </row>
    <row r="27" spans="1:4" x14ac:dyDescent="0.45">
      <c r="A27" t="s">
        <v>43</v>
      </c>
      <c r="B27" t="s">
        <v>16</v>
      </c>
      <c r="C27" t="s">
        <v>72</v>
      </c>
      <c r="D27">
        <v>3</v>
      </c>
    </row>
    <row r="28" spans="1:4" x14ac:dyDescent="0.45">
      <c r="A28" t="s">
        <v>34</v>
      </c>
      <c r="B28" t="s">
        <v>14</v>
      </c>
      <c r="C28" t="s">
        <v>71</v>
      </c>
      <c r="D28">
        <v>5</v>
      </c>
    </row>
    <row r="29" spans="1:4" x14ac:dyDescent="0.45">
      <c r="A29" t="s">
        <v>34</v>
      </c>
      <c r="B29" t="s">
        <v>14</v>
      </c>
      <c r="C29" t="s">
        <v>72</v>
      </c>
      <c r="D29">
        <v>4</v>
      </c>
    </row>
    <row r="30" spans="1:4" x14ac:dyDescent="0.45">
      <c r="A30" t="s">
        <v>24</v>
      </c>
      <c r="B30" t="s">
        <v>25</v>
      </c>
      <c r="C30" t="s">
        <v>71</v>
      </c>
      <c r="D30">
        <v>11</v>
      </c>
    </row>
    <row r="31" spans="1:4" x14ac:dyDescent="0.45">
      <c r="A31" t="s">
        <v>24</v>
      </c>
      <c r="B31" t="s">
        <v>25</v>
      </c>
      <c r="C31" t="s">
        <v>72</v>
      </c>
      <c r="D31">
        <v>0</v>
      </c>
    </row>
    <row r="32" spans="1:4" x14ac:dyDescent="0.45">
      <c r="A32" t="s">
        <v>19</v>
      </c>
      <c r="B32" t="s">
        <v>5</v>
      </c>
      <c r="C32" t="s">
        <v>71</v>
      </c>
      <c r="D32">
        <v>5</v>
      </c>
    </row>
    <row r="33" spans="1:4" x14ac:dyDescent="0.45">
      <c r="A33" t="s">
        <v>19</v>
      </c>
      <c r="B33" t="s">
        <v>5</v>
      </c>
      <c r="C33" t="s">
        <v>72</v>
      </c>
      <c r="D33">
        <v>4</v>
      </c>
    </row>
    <row r="34" spans="1:4" x14ac:dyDescent="0.45">
      <c r="A34" t="s">
        <v>20</v>
      </c>
      <c r="B34" t="s">
        <v>6</v>
      </c>
      <c r="C34" t="s">
        <v>71</v>
      </c>
      <c r="D34">
        <v>13</v>
      </c>
    </row>
    <row r="35" spans="1:4" x14ac:dyDescent="0.45">
      <c r="A35" t="s">
        <v>20</v>
      </c>
      <c r="B35" t="s">
        <v>6</v>
      </c>
      <c r="C35" t="s">
        <v>72</v>
      </c>
      <c r="D35">
        <v>0</v>
      </c>
    </row>
    <row r="36" spans="1:4" x14ac:dyDescent="0.45">
      <c r="A36" t="s">
        <v>27</v>
      </c>
      <c r="B36" t="s">
        <v>28</v>
      </c>
      <c r="C36" t="s">
        <v>71</v>
      </c>
      <c r="D36">
        <v>13</v>
      </c>
    </row>
    <row r="37" spans="1:4" x14ac:dyDescent="0.45">
      <c r="A37" t="s">
        <v>27</v>
      </c>
      <c r="B37" t="s">
        <v>28</v>
      </c>
      <c r="C37" t="s">
        <v>72</v>
      </c>
      <c r="D37">
        <v>0</v>
      </c>
    </row>
    <row r="38" spans="1:4" x14ac:dyDescent="0.45">
      <c r="A38" t="s">
        <v>35</v>
      </c>
      <c r="B38" t="s">
        <v>15</v>
      </c>
      <c r="C38" t="s">
        <v>71</v>
      </c>
      <c r="D38">
        <v>6</v>
      </c>
    </row>
    <row r="39" spans="1:4" x14ac:dyDescent="0.45">
      <c r="A39" t="s">
        <v>35</v>
      </c>
      <c r="B39" t="s">
        <v>15</v>
      </c>
      <c r="C39" t="s">
        <v>72</v>
      </c>
      <c r="D39">
        <v>5</v>
      </c>
    </row>
    <row r="40" spans="1:4" x14ac:dyDescent="0.45">
      <c r="A40" t="s">
        <v>18</v>
      </c>
      <c r="B40" t="s">
        <v>3</v>
      </c>
      <c r="C40" t="s">
        <v>71</v>
      </c>
      <c r="D40">
        <v>3</v>
      </c>
    </row>
    <row r="41" spans="1:4" x14ac:dyDescent="0.45">
      <c r="A41" t="s">
        <v>18</v>
      </c>
      <c r="B41" t="s">
        <v>3</v>
      </c>
      <c r="C41" t="s">
        <v>72</v>
      </c>
      <c r="D41">
        <v>7</v>
      </c>
    </row>
  </sheetData>
  <autoFilter ref="A1:D1" xr:uid="{4D84C6A3-D6F8-40C7-876A-7D69D758651E}">
    <sortState xmlns:xlrd2="http://schemas.microsoft.com/office/spreadsheetml/2017/richdata2" ref="A2:D41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0FC8-90B2-417D-B3C5-B05F4E4A22B2}">
  <dimension ref="A3:D23"/>
  <sheetViews>
    <sheetView topLeftCell="A2" workbookViewId="0">
      <selection activeCell="A3" sqref="A3:D21"/>
    </sheetView>
  </sheetViews>
  <sheetFormatPr baseColWidth="10" defaultRowHeight="14.25" x14ac:dyDescent="0.45"/>
  <cols>
    <col min="1" max="1" width="19.06640625" bestFit="1" customWidth="1"/>
    <col min="2" max="2" width="17" bestFit="1" customWidth="1"/>
    <col min="3" max="3" width="13.59765625" bestFit="1" customWidth="1"/>
    <col min="4" max="4" width="12.3984375" bestFit="1" customWidth="1"/>
  </cols>
  <sheetData>
    <row r="3" spans="1:4" x14ac:dyDescent="0.45">
      <c r="A3" s="4" t="s">
        <v>100</v>
      </c>
      <c r="B3" t="s">
        <v>99</v>
      </c>
      <c r="C3" t="s">
        <v>103</v>
      </c>
      <c r="D3" t="s">
        <v>104</v>
      </c>
    </row>
    <row r="4" spans="1:4" x14ac:dyDescent="0.45">
      <c r="A4" s="1" t="s">
        <v>84</v>
      </c>
      <c r="B4">
        <v>11</v>
      </c>
      <c r="C4">
        <v>1</v>
      </c>
    </row>
    <row r="5" spans="1:4" x14ac:dyDescent="0.45">
      <c r="A5" s="1" t="s">
        <v>85</v>
      </c>
      <c r="B5">
        <v>20</v>
      </c>
    </row>
    <row r="6" spans="1:4" x14ac:dyDescent="0.45">
      <c r="A6" s="1" t="s">
        <v>86</v>
      </c>
      <c r="B6">
        <v>5</v>
      </c>
      <c r="C6">
        <v>2</v>
      </c>
    </row>
    <row r="7" spans="1:4" x14ac:dyDescent="0.45">
      <c r="A7" s="1" t="s">
        <v>87</v>
      </c>
      <c r="B7">
        <v>17</v>
      </c>
      <c r="C7">
        <v>1</v>
      </c>
    </row>
    <row r="8" spans="1:4" x14ac:dyDescent="0.45">
      <c r="A8" s="1" t="s">
        <v>88</v>
      </c>
      <c r="B8">
        <v>20</v>
      </c>
    </row>
    <row r="9" spans="1:4" x14ac:dyDescent="0.45">
      <c r="A9" s="1" t="s">
        <v>89</v>
      </c>
      <c r="B9">
        <v>20</v>
      </c>
      <c r="C9">
        <v>10</v>
      </c>
    </row>
    <row r="10" spans="1:4" x14ac:dyDescent="0.45">
      <c r="A10" s="1" t="s">
        <v>78</v>
      </c>
      <c r="B10">
        <v>20</v>
      </c>
      <c r="C10">
        <v>11</v>
      </c>
      <c r="D10">
        <v>1</v>
      </c>
    </row>
    <row r="11" spans="1:4" x14ac:dyDescent="0.45">
      <c r="A11" s="1" t="s">
        <v>90</v>
      </c>
      <c r="B11">
        <v>10</v>
      </c>
      <c r="C11">
        <v>1</v>
      </c>
    </row>
    <row r="12" spans="1:4" x14ac:dyDescent="0.45">
      <c r="A12" s="1" t="s">
        <v>91</v>
      </c>
      <c r="B12">
        <v>15</v>
      </c>
      <c r="C12">
        <v>6</v>
      </c>
      <c r="D12">
        <v>1</v>
      </c>
    </row>
    <row r="13" spans="1:4" x14ac:dyDescent="0.45">
      <c r="A13" s="1" t="s">
        <v>80</v>
      </c>
      <c r="B13">
        <v>19</v>
      </c>
      <c r="C13">
        <v>2</v>
      </c>
    </row>
    <row r="14" spans="1:4" x14ac:dyDescent="0.45">
      <c r="A14" s="1" t="s">
        <v>79</v>
      </c>
      <c r="B14">
        <v>20</v>
      </c>
      <c r="C14">
        <v>4</v>
      </c>
    </row>
    <row r="15" spans="1:4" x14ac:dyDescent="0.45">
      <c r="A15" s="1" t="s">
        <v>92</v>
      </c>
      <c r="B15">
        <v>17</v>
      </c>
      <c r="C15">
        <v>8</v>
      </c>
    </row>
    <row r="16" spans="1:4" x14ac:dyDescent="0.45">
      <c r="A16" s="1" t="s">
        <v>94</v>
      </c>
      <c r="B16">
        <v>17</v>
      </c>
      <c r="C16">
        <v>17</v>
      </c>
    </row>
    <row r="17" spans="1:4" x14ac:dyDescent="0.45">
      <c r="A17" s="1" t="s">
        <v>97</v>
      </c>
      <c r="B17">
        <v>1</v>
      </c>
    </row>
    <row r="18" spans="1:4" x14ac:dyDescent="0.45">
      <c r="A18" s="1" t="s">
        <v>81</v>
      </c>
      <c r="B18">
        <v>14</v>
      </c>
    </row>
    <row r="19" spans="1:4" x14ac:dyDescent="0.45">
      <c r="A19" s="1" t="s">
        <v>82</v>
      </c>
      <c r="B19">
        <v>10</v>
      </c>
      <c r="C19">
        <v>1</v>
      </c>
    </row>
    <row r="20" spans="1:4" x14ac:dyDescent="0.45">
      <c r="A20" s="1" t="s">
        <v>83</v>
      </c>
      <c r="B20">
        <v>20</v>
      </c>
      <c r="C20">
        <v>12</v>
      </c>
      <c r="D20">
        <v>1</v>
      </c>
    </row>
    <row r="21" spans="1:4" x14ac:dyDescent="0.45">
      <c r="A21" s="1" t="s">
        <v>93</v>
      </c>
      <c r="B21">
        <v>19</v>
      </c>
      <c r="C21">
        <v>4</v>
      </c>
    </row>
    <row r="22" spans="1:4" x14ac:dyDescent="0.45">
      <c r="A22" s="1" t="s">
        <v>101</v>
      </c>
    </row>
    <row r="23" spans="1:4" x14ac:dyDescent="0.45">
      <c r="A23" s="1" t="s">
        <v>102</v>
      </c>
      <c r="B23">
        <v>275</v>
      </c>
      <c r="C23">
        <v>80</v>
      </c>
      <c r="D2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035B-92B1-49A8-8FBF-D8387E30F1D7}">
  <dimension ref="A1:F19"/>
  <sheetViews>
    <sheetView workbookViewId="0">
      <selection activeCell="D21" sqref="D21"/>
    </sheetView>
  </sheetViews>
  <sheetFormatPr baseColWidth="10" defaultRowHeight="14.25" x14ac:dyDescent="0.45"/>
  <cols>
    <col min="1" max="1" width="16.86328125" bestFit="1" customWidth="1"/>
    <col min="2" max="2" width="11.73046875" bestFit="1" customWidth="1"/>
    <col min="3" max="3" width="13.3984375" bestFit="1" customWidth="1"/>
  </cols>
  <sheetData>
    <row r="1" spans="1:6" x14ac:dyDescent="0.45">
      <c r="A1" s="9" t="s">
        <v>77</v>
      </c>
      <c r="B1" s="9" t="s">
        <v>105</v>
      </c>
      <c r="C1" s="9" t="s">
        <v>107</v>
      </c>
      <c r="D1" s="9" t="s">
        <v>74</v>
      </c>
      <c r="E1" s="9" t="s">
        <v>106</v>
      </c>
      <c r="F1" s="9" t="s">
        <v>108</v>
      </c>
    </row>
    <row r="2" spans="1:6" x14ac:dyDescent="0.45">
      <c r="A2" s="5" t="s">
        <v>83</v>
      </c>
      <c r="B2" s="6">
        <v>20</v>
      </c>
      <c r="C2" s="7">
        <f t="shared" ref="C2:C19" si="0">B2/20</f>
        <v>1</v>
      </c>
      <c r="D2" s="6">
        <v>12</v>
      </c>
      <c r="E2" s="6">
        <v>1</v>
      </c>
      <c r="F2" s="8">
        <v>0.65</v>
      </c>
    </row>
    <row r="3" spans="1:6" x14ac:dyDescent="0.45">
      <c r="A3" s="5" t="s">
        <v>78</v>
      </c>
      <c r="B3" s="6">
        <v>20</v>
      </c>
      <c r="C3" s="7">
        <f t="shared" si="0"/>
        <v>1</v>
      </c>
      <c r="D3" s="6">
        <v>11</v>
      </c>
      <c r="E3" s="6">
        <v>1</v>
      </c>
      <c r="F3" s="8">
        <v>0.6</v>
      </c>
    </row>
    <row r="4" spans="1:6" x14ac:dyDescent="0.45">
      <c r="A4" s="5" t="s">
        <v>89</v>
      </c>
      <c r="B4" s="6">
        <v>20</v>
      </c>
      <c r="C4" s="7">
        <f t="shared" si="0"/>
        <v>1</v>
      </c>
      <c r="D4" s="6">
        <v>10</v>
      </c>
      <c r="E4" s="6"/>
      <c r="F4" s="8">
        <v>0.5</v>
      </c>
    </row>
    <row r="5" spans="1:6" x14ac:dyDescent="0.45">
      <c r="A5" s="5" t="s">
        <v>79</v>
      </c>
      <c r="B5" s="6">
        <v>20</v>
      </c>
      <c r="C5" s="7">
        <f t="shared" si="0"/>
        <v>1</v>
      </c>
      <c r="D5" s="6">
        <v>4</v>
      </c>
      <c r="E5" s="6"/>
      <c r="F5" s="8">
        <v>0.2</v>
      </c>
    </row>
    <row r="6" spans="1:6" x14ac:dyDescent="0.45">
      <c r="A6" s="5" t="s">
        <v>85</v>
      </c>
      <c r="B6" s="6">
        <v>20</v>
      </c>
      <c r="C6" s="7">
        <f t="shared" si="0"/>
        <v>1</v>
      </c>
      <c r="D6" s="6"/>
      <c r="E6" s="6"/>
      <c r="F6" s="8">
        <v>0</v>
      </c>
    </row>
    <row r="7" spans="1:6" x14ac:dyDescent="0.45">
      <c r="A7" s="5" t="s">
        <v>88</v>
      </c>
      <c r="B7" s="6">
        <v>20</v>
      </c>
      <c r="C7" s="7">
        <f t="shared" si="0"/>
        <v>1</v>
      </c>
      <c r="D7" s="6"/>
      <c r="E7" s="6"/>
      <c r="F7" s="8">
        <v>0</v>
      </c>
    </row>
    <row r="8" spans="1:6" x14ac:dyDescent="0.45">
      <c r="A8" s="5" t="s">
        <v>93</v>
      </c>
      <c r="B8" s="6">
        <v>19</v>
      </c>
      <c r="C8" s="7">
        <f t="shared" si="0"/>
        <v>0.95</v>
      </c>
      <c r="D8" s="6">
        <v>4</v>
      </c>
      <c r="E8" s="6"/>
      <c r="F8" s="8">
        <v>0.21052631578947367</v>
      </c>
    </row>
    <row r="9" spans="1:6" x14ac:dyDescent="0.45">
      <c r="A9" s="5" t="s">
        <v>80</v>
      </c>
      <c r="B9" s="6">
        <v>19</v>
      </c>
      <c r="C9" s="7">
        <f t="shared" si="0"/>
        <v>0.95</v>
      </c>
      <c r="D9" s="6">
        <v>2</v>
      </c>
      <c r="E9" s="6"/>
      <c r="F9" s="8">
        <v>0.10526315789473684</v>
      </c>
    </row>
    <row r="10" spans="1:6" x14ac:dyDescent="0.45">
      <c r="A10" s="5" t="s">
        <v>94</v>
      </c>
      <c r="B10" s="6">
        <v>17</v>
      </c>
      <c r="C10" s="7">
        <f t="shared" si="0"/>
        <v>0.85</v>
      </c>
      <c r="D10" s="6">
        <v>17</v>
      </c>
      <c r="E10" s="6"/>
      <c r="F10" s="8">
        <v>1</v>
      </c>
    </row>
    <row r="11" spans="1:6" x14ac:dyDescent="0.45">
      <c r="A11" s="5" t="s">
        <v>92</v>
      </c>
      <c r="B11" s="6">
        <v>17</v>
      </c>
      <c r="C11" s="7">
        <f t="shared" si="0"/>
        <v>0.85</v>
      </c>
      <c r="D11" s="6">
        <v>8</v>
      </c>
      <c r="E11" s="6"/>
      <c r="F11" s="8">
        <v>0.47058823529411764</v>
      </c>
    </row>
    <row r="12" spans="1:6" x14ac:dyDescent="0.45">
      <c r="A12" s="5" t="s">
        <v>87</v>
      </c>
      <c r="B12" s="6">
        <v>17</v>
      </c>
      <c r="C12" s="7">
        <f t="shared" si="0"/>
        <v>0.85</v>
      </c>
      <c r="D12" s="6">
        <v>1</v>
      </c>
      <c r="E12" s="6"/>
      <c r="F12" s="8">
        <v>5.8823529411764705E-2</v>
      </c>
    </row>
    <row r="13" spans="1:6" x14ac:dyDescent="0.45">
      <c r="A13" s="5" t="s">
        <v>91</v>
      </c>
      <c r="B13" s="6">
        <v>15</v>
      </c>
      <c r="C13" s="7">
        <f t="shared" si="0"/>
        <v>0.75</v>
      </c>
      <c r="D13" s="6">
        <v>6</v>
      </c>
      <c r="E13" s="6">
        <v>1</v>
      </c>
      <c r="F13" s="8">
        <v>0.46666666666666667</v>
      </c>
    </row>
    <row r="14" spans="1:6" x14ac:dyDescent="0.45">
      <c r="A14" s="5" t="s">
        <v>81</v>
      </c>
      <c r="B14" s="6">
        <v>14</v>
      </c>
      <c r="C14" s="7">
        <f t="shared" si="0"/>
        <v>0.7</v>
      </c>
      <c r="D14" s="6"/>
      <c r="E14" s="6"/>
      <c r="F14" s="8">
        <v>0</v>
      </c>
    </row>
    <row r="15" spans="1:6" x14ac:dyDescent="0.45">
      <c r="A15" s="5" t="s">
        <v>84</v>
      </c>
      <c r="B15" s="6">
        <v>11</v>
      </c>
      <c r="C15" s="7">
        <f t="shared" si="0"/>
        <v>0.55000000000000004</v>
      </c>
      <c r="D15" s="6">
        <v>1</v>
      </c>
      <c r="E15" s="6"/>
      <c r="F15" s="8">
        <v>9.0909090909090912E-2</v>
      </c>
    </row>
    <row r="16" spans="1:6" x14ac:dyDescent="0.45">
      <c r="A16" s="5" t="s">
        <v>90</v>
      </c>
      <c r="B16" s="6">
        <v>10</v>
      </c>
      <c r="C16" s="7">
        <f t="shared" si="0"/>
        <v>0.5</v>
      </c>
      <c r="D16" s="6">
        <v>1</v>
      </c>
      <c r="E16" s="6"/>
      <c r="F16" s="8">
        <v>0.1</v>
      </c>
    </row>
    <row r="17" spans="1:6" x14ac:dyDescent="0.45">
      <c r="A17" s="5" t="s">
        <v>82</v>
      </c>
      <c r="B17" s="6">
        <v>10</v>
      </c>
      <c r="C17" s="7">
        <f t="shared" si="0"/>
        <v>0.5</v>
      </c>
      <c r="D17" s="6">
        <v>1</v>
      </c>
      <c r="E17" s="6"/>
      <c r="F17" s="8">
        <v>0.1</v>
      </c>
    </row>
    <row r="18" spans="1:6" x14ac:dyDescent="0.45">
      <c r="A18" s="5" t="s">
        <v>86</v>
      </c>
      <c r="B18" s="6">
        <v>5</v>
      </c>
      <c r="C18" s="7">
        <f t="shared" si="0"/>
        <v>0.25</v>
      </c>
      <c r="D18" s="6">
        <v>2</v>
      </c>
      <c r="E18" s="6"/>
      <c r="F18" s="8">
        <v>0.4</v>
      </c>
    </row>
    <row r="19" spans="1:6" x14ac:dyDescent="0.45">
      <c r="A19" s="5" t="s">
        <v>97</v>
      </c>
      <c r="B19" s="6">
        <v>1</v>
      </c>
      <c r="C19" s="7">
        <f t="shared" si="0"/>
        <v>0.05</v>
      </c>
      <c r="D19" s="6"/>
      <c r="E19" s="6"/>
      <c r="F19" s="8">
        <v>0</v>
      </c>
    </row>
  </sheetData>
  <sortState xmlns:xlrd2="http://schemas.microsoft.com/office/spreadsheetml/2017/richdata2" ref="A2:F19">
    <sortCondition ref="A1:A19"/>
  </sortState>
  <conditionalFormatting sqref="C2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5172-0557-411D-9515-486D5BA43D44}">
  <dimension ref="A1:E276"/>
  <sheetViews>
    <sheetView topLeftCell="A139" workbookViewId="0">
      <selection activeCell="F1" sqref="F1:G4"/>
    </sheetView>
  </sheetViews>
  <sheetFormatPr baseColWidth="10" defaultRowHeight="14.25" x14ac:dyDescent="0.45"/>
  <cols>
    <col min="3" max="3" width="15.06640625" bestFit="1" customWidth="1"/>
  </cols>
  <sheetData>
    <row r="1" spans="1:5" x14ac:dyDescent="0.45">
      <c r="A1" t="s">
        <v>17</v>
      </c>
      <c r="B1" t="s">
        <v>0</v>
      </c>
      <c r="C1" t="s">
        <v>73</v>
      </c>
      <c r="D1" t="s">
        <v>74</v>
      </c>
      <c r="E1" t="s">
        <v>75</v>
      </c>
    </row>
    <row r="2" spans="1:5" x14ac:dyDescent="0.45">
      <c r="A2" t="s">
        <v>43</v>
      </c>
      <c r="B2" t="s">
        <v>16</v>
      </c>
      <c r="C2" s="3" t="s">
        <v>78</v>
      </c>
    </row>
    <row r="3" spans="1:5" x14ac:dyDescent="0.45">
      <c r="A3" t="s">
        <v>43</v>
      </c>
      <c r="B3" t="s">
        <v>16</v>
      </c>
      <c r="C3" s="3" t="s">
        <v>79</v>
      </c>
    </row>
    <row r="4" spans="1:5" x14ac:dyDescent="0.45">
      <c r="A4" t="s">
        <v>43</v>
      </c>
      <c r="B4" t="s">
        <v>16</v>
      </c>
      <c r="C4" s="3" t="s">
        <v>80</v>
      </c>
    </row>
    <row r="5" spans="1:5" x14ac:dyDescent="0.45">
      <c r="A5" t="s">
        <v>43</v>
      </c>
      <c r="B5" t="s">
        <v>16</v>
      </c>
      <c r="C5" s="3" t="s">
        <v>81</v>
      </c>
    </row>
    <row r="6" spans="1:5" x14ac:dyDescent="0.45">
      <c r="A6" t="s">
        <v>43</v>
      </c>
      <c r="B6" t="s">
        <v>16</v>
      </c>
      <c r="C6" s="3" t="s">
        <v>82</v>
      </c>
    </row>
    <row r="7" spans="1:5" x14ac:dyDescent="0.45">
      <c r="A7" t="s">
        <v>43</v>
      </c>
      <c r="B7" t="s">
        <v>16</v>
      </c>
      <c r="C7" s="3" t="s">
        <v>83</v>
      </c>
    </row>
    <row r="8" spans="1:5" x14ac:dyDescent="0.45">
      <c r="A8" t="s">
        <v>43</v>
      </c>
      <c r="B8" t="s">
        <v>16</v>
      </c>
      <c r="C8" s="3" t="s">
        <v>84</v>
      </c>
    </row>
    <row r="9" spans="1:5" x14ac:dyDescent="0.45">
      <c r="A9" t="s">
        <v>43</v>
      </c>
      <c r="B9" t="s">
        <v>16</v>
      </c>
      <c r="C9" s="3" t="s">
        <v>87</v>
      </c>
    </row>
    <row r="10" spans="1:5" x14ac:dyDescent="0.45">
      <c r="A10" t="s">
        <v>43</v>
      </c>
      <c r="B10" t="s">
        <v>16</v>
      </c>
      <c r="C10" s="3" t="s">
        <v>89</v>
      </c>
      <c r="D10">
        <v>2</v>
      </c>
    </row>
    <row r="11" spans="1:5" x14ac:dyDescent="0.45">
      <c r="A11" t="s">
        <v>43</v>
      </c>
      <c r="B11" t="s">
        <v>16</v>
      </c>
      <c r="C11" s="3" t="s">
        <v>91</v>
      </c>
      <c r="D11">
        <v>1</v>
      </c>
    </row>
    <row r="12" spans="1:5" x14ac:dyDescent="0.45">
      <c r="A12" t="s">
        <v>43</v>
      </c>
      <c r="B12" t="s">
        <v>16</v>
      </c>
      <c r="C12" s="3" t="s">
        <v>92</v>
      </c>
      <c r="D12">
        <v>1</v>
      </c>
    </row>
    <row r="13" spans="1:5" x14ac:dyDescent="0.45">
      <c r="A13" t="s">
        <v>43</v>
      </c>
      <c r="B13" t="s">
        <v>16</v>
      </c>
      <c r="C13" s="3" t="s">
        <v>93</v>
      </c>
      <c r="D13">
        <v>1</v>
      </c>
    </row>
    <row r="14" spans="1:5" x14ac:dyDescent="0.45">
      <c r="A14" t="s">
        <v>43</v>
      </c>
      <c r="B14" t="s">
        <v>16</v>
      </c>
      <c r="C14" s="3" t="s">
        <v>85</v>
      </c>
    </row>
    <row r="15" spans="1:5" x14ac:dyDescent="0.45">
      <c r="A15" t="s">
        <v>43</v>
      </c>
      <c r="B15" t="s">
        <v>16</v>
      </c>
      <c r="C15" s="3" t="s">
        <v>88</v>
      </c>
    </row>
    <row r="16" spans="1:5" x14ac:dyDescent="0.45">
      <c r="A16" t="s">
        <v>42</v>
      </c>
      <c r="B16" t="s">
        <v>11</v>
      </c>
      <c r="C16" s="3" t="s">
        <v>78</v>
      </c>
    </row>
    <row r="17" spans="1:4" x14ac:dyDescent="0.45">
      <c r="A17" t="s">
        <v>42</v>
      </c>
      <c r="B17" t="s">
        <v>11</v>
      </c>
      <c r="C17" s="3" t="s">
        <v>79</v>
      </c>
    </row>
    <row r="18" spans="1:4" x14ac:dyDescent="0.45">
      <c r="A18" t="s">
        <v>42</v>
      </c>
      <c r="B18" t="s">
        <v>11</v>
      </c>
      <c r="C18" s="3" t="s">
        <v>80</v>
      </c>
    </row>
    <row r="19" spans="1:4" x14ac:dyDescent="0.45">
      <c r="A19" t="s">
        <v>42</v>
      </c>
      <c r="B19" t="s">
        <v>11</v>
      </c>
      <c r="C19" s="3" t="s">
        <v>94</v>
      </c>
    </row>
    <row r="20" spans="1:4" x14ac:dyDescent="0.45">
      <c r="A20" t="s">
        <v>42</v>
      </c>
      <c r="B20" t="s">
        <v>11</v>
      </c>
      <c r="C20" s="3" t="s">
        <v>82</v>
      </c>
    </row>
    <row r="21" spans="1:4" x14ac:dyDescent="0.45">
      <c r="A21" t="s">
        <v>42</v>
      </c>
      <c r="B21" t="s">
        <v>11</v>
      </c>
      <c r="C21" s="3" t="s">
        <v>83</v>
      </c>
    </row>
    <row r="22" spans="1:4" x14ac:dyDescent="0.45">
      <c r="A22" t="s">
        <v>42</v>
      </c>
      <c r="B22" t="s">
        <v>11</v>
      </c>
      <c r="C22" s="3" t="s">
        <v>84</v>
      </c>
    </row>
    <row r="23" spans="1:4" x14ac:dyDescent="0.45">
      <c r="A23" t="s">
        <v>42</v>
      </c>
      <c r="B23" t="s">
        <v>11</v>
      </c>
      <c r="C23" s="3" t="s">
        <v>87</v>
      </c>
      <c r="D23">
        <v>1</v>
      </c>
    </row>
    <row r="24" spans="1:4" x14ac:dyDescent="0.45">
      <c r="A24" t="s">
        <v>42</v>
      </c>
      <c r="B24" t="s">
        <v>11</v>
      </c>
      <c r="C24" s="3" t="s">
        <v>89</v>
      </c>
    </row>
    <row r="25" spans="1:4" x14ac:dyDescent="0.45">
      <c r="A25" t="s">
        <v>42</v>
      </c>
      <c r="B25" t="s">
        <v>11</v>
      </c>
      <c r="C25" s="3" t="s">
        <v>91</v>
      </c>
    </row>
    <row r="26" spans="1:4" x14ac:dyDescent="0.45">
      <c r="A26" t="s">
        <v>42</v>
      </c>
      <c r="B26" t="s">
        <v>11</v>
      </c>
      <c r="C26" s="3" t="s">
        <v>97</v>
      </c>
    </row>
    <row r="27" spans="1:4" x14ac:dyDescent="0.45">
      <c r="A27" t="s">
        <v>42</v>
      </c>
      <c r="B27" t="s">
        <v>11</v>
      </c>
      <c r="C27" s="3" t="s">
        <v>93</v>
      </c>
    </row>
    <row r="28" spans="1:4" x14ac:dyDescent="0.45">
      <c r="A28" t="s">
        <v>42</v>
      </c>
      <c r="B28" t="s">
        <v>11</v>
      </c>
      <c r="C28" s="3" t="s">
        <v>85</v>
      </c>
    </row>
    <row r="29" spans="1:4" x14ac:dyDescent="0.45">
      <c r="A29" t="s">
        <v>42</v>
      </c>
      <c r="B29" t="s">
        <v>11</v>
      </c>
      <c r="C29" s="3" t="s">
        <v>88</v>
      </c>
    </row>
    <row r="30" spans="1:4" x14ac:dyDescent="0.45">
      <c r="A30" t="s">
        <v>41</v>
      </c>
      <c r="B30" t="s">
        <v>7</v>
      </c>
      <c r="C30" s="3" t="s">
        <v>87</v>
      </c>
    </row>
    <row r="31" spans="1:4" x14ac:dyDescent="0.45">
      <c r="A31" t="s">
        <v>41</v>
      </c>
      <c r="B31" t="s">
        <v>7</v>
      </c>
      <c r="C31" s="3" t="s">
        <v>80</v>
      </c>
      <c r="D31">
        <v>1</v>
      </c>
    </row>
    <row r="32" spans="1:4" x14ac:dyDescent="0.45">
      <c r="A32" t="s">
        <v>41</v>
      </c>
      <c r="B32" t="s">
        <v>7</v>
      </c>
      <c r="C32" s="3" t="s">
        <v>89</v>
      </c>
    </row>
    <row r="33" spans="1:4" x14ac:dyDescent="0.45">
      <c r="A33" t="s">
        <v>41</v>
      </c>
      <c r="B33" t="s">
        <v>7</v>
      </c>
      <c r="C33" s="3" t="s">
        <v>84</v>
      </c>
    </row>
    <row r="34" spans="1:4" x14ac:dyDescent="0.45">
      <c r="A34" t="s">
        <v>41</v>
      </c>
      <c r="B34" t="s">
        <v>7</v>
      </c>
      <c r="C34" s="3" t="s">
        <v>94</v>
      </c>
      <c r="D34">
        <v>2</v>
      </c>
    </row>
    <row r="35" spans="1:4" x14ac:dyDescent="0.45">
      <c r="A35" t="s">
        <v>41</v>
      </c>
      <c r="B35" t="s">
        <v>7</v>
      </c>
      <c r="C35" s="3" t="s">
        <v>88</v>
      </c>
    </row>
    <row r="36" spans="1:4" x14ac:dyDescent="0.45">
      <c r="A36" t="s">
        <v>41</v>
      </c>
      <c r="B36" t="s">
        <v>7</v>
      </c>
      <c r="C36" s="3" t="s">
        <v>83</v>
      </c>
      <c r="D36">
        <v>1</v>
      </c>
    </row>
    <row r="37" spans="1:4" x14ac:dyDescent="0.45">
      <c r="A37" t="s">
        <v>41</v>
      </c>
      <c r="B37" t="s">
        <v>7</v>
      </c>
      <c r="C37" s="3" t="s">
        <v>91</v>
      </c>
    </row>
    <row r="38" spans="1:4" x14ac:dyDescent="0.45">
      <c r="A38" t="s">
        <v>41</v>
      </c>
      <c r="B38" t="s">
        <v>7</v>
      </c>
      <c r="C38" s="3" t="s">
        <v>78</v>
      </c>
    </row>
    <row r="39" spans="1:4" x14ac:dyDescent="0.45">
      <c r="A39" t="s">
        <v>41</v>
      </c>
      <c r="B39" t="s">
        <v>7</v>
      </c>
      <c r="C39" s="3" t="s">
        <v>79</v>
      </c>
      <c r="D39">
        <v>1</v>
      </c>
    </row>
    <row r="40" spans="1:4" x14ac:dyDescent="0.45">
      <c r="A40" t="s">
        <v>41</v>
      </c>
      <c r="B40" t="s">
        <v>7</v>
      </c>
      <c r="C40" s="3" t="s">
        <v>92</v>
      </c>
    </row>
    <row r="41" spans="1:4" x14ac:dyDescent="0.45">
      <c r="A41" t="s">
        <v>41</v>
      </c>
      <c r="B41" t="s">
        <v>7</v>
      </c>
      <c r="C41" s="3" t="s">
        <v>82</v>
      </c>
    </row>
    <row r="42" spans="1:4" x14ac:dyDescent="0.45">
      <c r="A42" t="s">
        <v>41</v>
      </c>
      <c r="B42" t="s">
        <v>7</v>
      </c>
      <c r="C42" s="3" t="s">
        <v>93</v>
      </c>
    </row>
    <row r="43" spans="1:4" x14ac:dyDescent="0.45">
      <c r="A43" t="s">
        <v>41</v>
      </c>
      <c r="B43" t="s">
        <v>7</v>
      </c>
      <c r="C43" s="3" t="s">
        <v>85</v>
      </c>
    </row>
    <row r="44" spans="1:4" x14ac:dyDescent="0.45">
      <c r="A44" t="s">
        <v>40</v>
      </c>
      <c r="B44" t="s">
        <v>4</v>
      </c>
      <c r="C44" s="3" t="s">
        <v>81</v>
      </c>
    </row>
    <row r="45" spans="1:4" x14ac:dyDescent="0.45">
      <c r="A45" t="s">
        <v>40</v>
      </c>
      <c r="B45" t="s">
        <v>4</v>
      </c>
      <c r="C45" s="3" t="s">
        <v>80</v>
      </c>
    </row>
    <row r="46" spans="1:4" x14ac:dyDescent="0.45">
      <c r="A46" t="s">
        <v>40</v>
      </c>
      <c r="B46" t="s">
        <v>4</v>
      </c>
      <c r="C46" s="3" t="s">
        <v>89</v>
      </c>
    </row>
    <row r="47" spans="1:4" x14ac:dyDescent="0.45">
      <c r="A47" t="s">
        <v>40</v>
      </c>
      <c r="B47" t="s">
        <v>4</v>
      </c>
      <c r="C47" s="3" t="s">
        <v>84</v>
      </c>
    </row>
    <row r="48" spans="1:4" x14ac:dyDescent="0.45">
      <c r="A48" t="s">
        <v>40</v>
      </c>
      <c r="B48" t="s">
        <v>4</v>
      </c>
      <c r="C48" s="3" t="s">
        <v>94</v>
      </c>
      <c r="D48">
        <v>1</v>
      </c>
    </row>
    <row r="49" spans="1:5" x14ac:dyDescent="0.45">
      <c r="A49" t="s">
        <v>40</v>
      </c>
      <c r="B49" t="s">
        <v>4</v>
      </c>
      <c r="C49" s="3" t="s">
        <v>88</v>
      </c>
    </row>
    <row r="50" spans="1:5" x14ac:dyDescent="0.45">
      <c r="A50" t="s">
        <v>40</v>
      </c>
      <c r="B50" t="s">
        <v>4</v>
      </c>
      <c r="C50" s="3" t="s">
        <v>83</v>
      </c>
      <c r="E50">
        <v>1</v>
      </c>
    </row>
    <row r="51" spans="1:5" x14ac:dyDescent="0.45">
      <c r="A51" t="s">
        <v>40</v>
      </c>
      <c r="B51" t="s">
        <v>4</v>
      </c>
      <c r="C51" s="3" t="s">
        <v>91</v>
      </c>
      <c r="D51">
        <v>1</v>
      </c>
      <c r="E51">
        <v>1</v>
      </c>
    </row>
    <row r="52" spans="1:5" x14ac:dyDescent="0.45">
      <c r="A52" t="s">
        <v>40</v>
      </c>
      <c r="B52" t="s">
        <v>4</v>
      </c>
      <c r="C52" s="3" t="s">
        <v>78</v>
      </c>
      <c r="D52">
        <v>1</v>
      </c>
    </row>
    <row r="53" spans="1:5" x14ac:dyDescent="0.45">
      <c r="A53" t="s">
        <v>40</v>
      </c>
      <c r="B53" t="s">
        <v>4</v>
      </c>
      <c r="C53" s="3" t="s">
        <v>79</v>
      </c>
    </row>
    <row r="54" spans="1:5" x14ac:dyDescent="0.45">
      <c r="A54" t="s">
        <v>40</v>
      </c>
      <c r="B54" t="s">
        <v>4</v>
      </c>
      <c r="C54" s="3" t="s">
        <v>92</v>
      </c>
      <c r="D54">
        <v>1</v>
      </c>
    </row>
    <row r="55" spans="1:5" x14ac:dyDescent="0.45">
      <c r="A55" t="s">
        <v>40</v>
      </c>
      <c r="B55" t="s">
        <v>4</v>
      </c>
      <c r="C55" s="3" t="s">
        <v>82</v>
      </c>
    </row>
    <row r="56" spans="1:5" x14ac:dyDescent="0.45">
      <c r="A56" t="s">
        <v>40</v>
      </c>
      <c r="B56" t="s">
        <v>4</v>
      </c>
      <c r="C56" s="3" t="s">
        <v>93</v>
      </c>
    </row>
    <row r="57" spans="1:5" x14ac:dyDescent="0.45">
      <c r="A57" t="s">
        <v>40</v>
      </c>
      <c r="B57" t="s">
        <v>4</v>
      </c>
      <c r="C57" s="3" t="s">
        <v>85</v>
      </c>
    </row>
    <row r="58" spans="1:5" x14ac:dyDescent="0.45">
      <c r="A58" t="s">
        <v>38</v>
      </c>
      <c r="B58" t="s">
        <v>39</v>
      </c>
      <c r="C58" s="3" t="s">
        <v>81</v>
      </c>
    </row>
    <row r="59" spans="1:5" x14ac:dyDescent="0.45">
      <c r="A59" t="s">
        <v>38</v>
      </c>
      <c r="B59" t="s">
        <v>39</v>
      </c>
      <c r="C59" s="3" t="s">
        <v>80</v>
      </c>
    </row>
    <row r="60" spans="1:5" x14ac:dyDescent="0.45">
      <c r="A60" t="s">
        <v>38</v>
      </c>
      <c r="B60" t="s">
        <v>39</v>
      </c>
      <c r="C60" s="3" t="s">
        <v>89</v>
      </c>
    </row>
    <row r="61" spans="1:5" x14ac:dyDescent="0.45">
      <c r="A61" t="s">
        <v>38</v>
      </c>
      <c r="B61" t="s">
        <v>39</v>
      </c>
      <c r="C61" s="3" t="s">
        <v>84</v>
      </c>
    </row>
    <row r="62" spans="1:5" x14ac:dyDescent="0.45">
      <c r="A62" t="s">
        <v>38</v>
      </c>
      <c r="B62" t="s">
        <v>39</v>
      </c>
      <c r="C62" s="3" t="s">
        <v>94</v>
      </c>
      <c r="D62">
        <v>1</v>
      </c>
    </row>
    <row r="63" spans="1:5" x14ac:dyDescent="0.45">
      <c r="A63" t="s">
        <v>38</v>
      </c>
      <c r="B63" t="s">
        <v>39</v>
      </c>
      <c r="C63" s="3" t="s">
        <v>88</v>
      </c>
    </row>
    <row r="64" spans="1:5" x14ac:dyDescent="0.45">
      <c r="A64" t="s">
        <v>38</v>
      </c>
      <c r="B64" t="s">
        <v>39</v>
      </c>
      <c r="C64" s="3" t="s">
        <v>83</v>
      </c>
    </row>
    <row r="65" spans="1:4" x14ac:dyDescent="0.45">
      <c r="A65" t="s">
        <v>38</v>
      </c>
      <c r="B65" t="s">
        <v>39</v>
      </c>
      <c r="C65" s="3" t="s">
        <v>91</v>
      </c>
    </row>
    <row r="66" spans="1:4" x14ac:dyDescent="0.45">
      <c r="A66" t="s">
        <v>38</v>
      </c>
      <c r="B66" t="s">
        <v>39</v>
      </c>
      <c r="C66" s="3" t="s">
        <v>78</v>
      </c>
    </row>
    <row r="67" spans="1:4" x14ac:dyDescent="0.45">
      <c r="A67" t="s">
        <v>38</v>
      </c>
      <c r="B67" t="s">
        <v>39</v>
      </c>
      <c r="C67" s="3" t="s">
        <v>79</v>
      </c>
    </row>
    <row r="68" spans="1:4" x14ac:dyDescent="0.45">
      <c r="A68" t="s">
        <v>38</v>
      </c>
      <c r="B68" t="s">
        <v>39</v>
      </c>
      <c r="C68" s="3" t="s">
        <v>87</v>
      </c>
    </row>
    <row r="69" spans="1:4" x14ac:dyDescent="0.45">
      <c r="A69" t="s">
        <v>38</v>
      </c>
      <c r="B69" t="s">
        <v>39</v>
      </c>
      <c r="C69" s="3" t="s">
        <v>82</v>
      </c>
    </row>
    <row r="70" spans="1:4" x14ac:dyDescent="0.45">
      <c r="A70" t="s">
        <v>38</v>
      </c>
      <c r="B70" t="s">
        <v>39</v>
      </c>
      <c r="C70" s="3" t="s">
        <v>93</v>
      </c>
    </row>
    <row r="71" spans="1:4" x14ac:dyDescent="0.45">
      <c r="A71" t="s">
        <v>38</v>
      </c>
      <c r="B71" t="s">
        <v>39</v>
      </c>
      <c r="C71" s="3" t="s">
        <v>85</v>
      </c>
    </row>
    <row r="72" spans="1:4" x14ac:dyDescent="0.45">
      <c r="A72" t="s">
        <v>37</v>
      </c>
      <c r="B72" t="s">
        <v>12</v>
      </c>
      <c r="C72" s="3" t="s">
        <v>81</v>
      </c>
    </row>
    <row r="73" spans="1:4" x14ac:dyDescent="0.45">
      <c r="A73" t="s">
        <v>37</v>
      </c>
      <c r="B73" t="s">
        <v>12</v>
      </c>
      <c r="C73" s="3" t="s">
        <v>80</v>
      </c>
    </row>
    <row r="74" spans="1:4" x14ac:dyDescent="0.45">
      <c r="A74" t="s">
        <v>37</v>
      </c>
      <c r="B74" t="s">
        <v>12</v>
      </c>
      <c r="C74" s="3" t="s">
        <v>89</v>
      </c>
      <c r="D74">
        <v>2</v>
      </c>
    </row>
    <row r="75" spans="1:4" x14ac:dyDescent="0.45">
      <c r="A75" t="s">
        <v>37</v>
      </c>
      <c r="B75" t="s">
        <v>12</v>
      </c>
      <c r="C75" s="3" t="s">
        <v>92</v>
      </c>
    </row>
    <row r="76" spans="1:4" x14ac:dyDescent="0.45">
      <c r="A76" t="s">
        <v>37</v>
      </c>
      <c r="B76" t="s">
        <v>12</v>
      </c>
      <c r="C76" s="3" t="s">
        <v>94</v>
      </c>
    </row>
    <row r="77" spans="1:4" x14ac:dyDescent="0.45">
      <c r="A77" t="s">
        <v>37</v>
      </c>
      <c r="B77" t="s">
        <v>12</v>
      </c>
      <c r="C77" s="3" t="s">
        <v>88</v>
      </c>
    </row>
    <row r="78" spans="1:4" x14ac:dyDescent="0.45">
      <c r="A78" t="s">
        <v>37</v>
      </c>
      <c r="B78" t="s">
        <v>12</v>
      </c>
      <c r="C78" s="3" t="s">
        <v>83</v>
      </c>
      <c r="D78">
        <v>1</v>
      </c>
    </row>
    <row r="79" spans="1:4" x14ac:dyDescent="0.45">
      <c r="A79" t="s">
        <v>37</v>
      </c>
      <c r="B79" t="s">
        <v>12</v>
      </c>
      <c r="C79" s="3" t="s">
        <v>91</v>
      </c>
    </row>
    <row r="80" spans="1:4" x14ac:dyDescent="0.45">
      <c r="A80" t="s">
        <v>37</v>
      </c>
      <c r="B80" t="s">
        <v>12</v>
      </c>
      <c r="C80" s="3" t="s">
        <v>78</v>
      </c>
    </row>
    <row r="81" spans="1:4" x14ac:dyDescent="0.45">
      <c r="A81" t="s">
        <v>37</v>
      </c>
      <c r="B81" t="s">
        <v>12</v>
      </c>
      <c r="C81" s="3" t="s">
        <v>79</v>
      </c>
    </row>
    <row r="82" spans="1:4" x14ac:dyDescent="0.45">
      <c r="A82" t="s">
        <v>37</v>
      </c>
      <c r="B82" t="s">
        <v>12</v>
      </c>
      <c r="C82" s="3" t="s">
        <v>87</v>
      </c>
    </row>
    <row r="83" spans="1:4" x14ac:dyDescent="0.45">
      <c r="A83" t="s">
        <v>37</v>
      </c>
      <c r="B83" t="s">
        <v>12</v>
      </c>
      <c r="C83" s="3" t="s">
        <v>82</v>
      </c>
    </row>
    <row r="84" spans="1:4" x14ac:dyDescent="0.45">
      <c r="A84" t="s">
        <v>37</v>
      </c>
      <c r="B84" t="s">
        <v>12</v>
      </c>
      <c r="C84" s="3" t="s">
        <v>93</v>
      </c>
    </row>
    <row r="85" spans="1:4" x14ac:dyDescent="0.45">
      <c r="A85" t="s">
        <v>37</v>
      </c>
      <c r="B85" t="s">
        <v>12</v>
      </c>
      <c r="C85" s="3" t="s">
        <v>85</v>
      </c>
    </row>
    <row r="86" spans="1:4" x14ac:dyDescent="0.45">
      <c r="A86" t="s">
        <v>36</v>
      </c>
      <c r="B86" t="s">
        <v>9</v>
      </c>
      <c r="C86" s="3" t="s">
        <v>87</v>
      </c>
    </row>
    <row r="87" spans="1:4" x14ac:dyDescent="0.45">
      <c r="A87" t="s">
        <v>36</v>
      </c>
      <c r="B87" t="s">
        <v>9</v>
      </c>
      <c r="C87" s="3" t="s">
        <v>80</v>
      </c>
    </row>
    <row r="88" spans="1:4" x14ac:dyDescent="0.45">
      <c r="A88" t="s">
        <v>36</v>
      </c>
      <c r="B88" t="s">
        <v>9</v>
      </c>
      <c r="C88" s="3" t="s">
        <v>89</v>
      </c>
      <c r="D88">
        <v>1</v>
      </c>
    </row>
    <row r="89" spans="1:4" x14ac:dyDescent="0.45">
      <c r="A89" t="s">
        <v>36</v>
      </c>
      <c r="B89" t="s">
        <v>9</v>
      </c>
      <c r="C89" s="3" t="s">
        <v>81</v>
      </c>
    </row>
    <row r="90" spans="1:4" x14ac:dyDescent="0.45">
      <c r="A90" t="s">
        <v>36</v>
      </c>
      <c r="B90" t="s">
        <v>9</v>
      </c>
      <c r="C90" s="3" t="s">
        <v>94</v>
      </c>
    </row>
    <row r="91" spans="1:4" x14ac:dyDescent="0.45">
      <c r="A91" t="s">
        <v>36</v>
      </c>
      <c r="B91" t="s">
        <v>9</v>
      </c>
      <c r="C91" s="3" t="s">
        <v>88</v>
      </c>
    </row>
    <row r="92" spans="1:4" x14ac:dyDescent="0.45">
      <c r="A92" t="s">
        <v>36</v>
      </c>
      <c r="B92" t="s">
        <v>9</v>
      </c>
      <c r="C92" s="3" t="s">
        <v>83</v>
      </c>
      <c r="D92">
        <v>1</v>
      </c>
    </row>
    <row r="93" spans="1:4" x14ac:dyDescent="0.45">
      <c r="A93" t="s">
        <v>36</v>
      </c>
      <c r="B93" t="s">
        <v>9</v>
      </c>
      <c r="C93" s="3" t="s">
        <v>91</v>
      </c>
    </row>
    <row r="94" spans="1:4" x14ac:dyDescent="0.45">
      <c r="A94" t="s">
        <v>36</v>
      </c>
      <c r="B94" t="s">
        <v>9</v>
      </c>
      <c r="C94" s="3" t="s">
        <v>78</v>
      </c>
      <c r="D94">
        <v>2</v>
      </c>
    </row>
    <row r="95" spans="1:4" x14ac:dyDescent="0.45">
      <c r="A95" t="s">
        <v>36</v>
      </c>
      <c r="B95" t="s">
        <v>9</v>
      </c>
      <c r="C95" s="3" t="s">
        <v>79</v>
      </c>
    </row>
    <row r="96" spans="1:4" x14ac:dyDescent="0.45">
      <c r="A96" t="s">
        <v>36</v>
      </c>
      <c r="B96" t="s">
        <v>9</v>
      </c>
      <c r="C96" s="3" t="s">
        <v>92</v>
      </c>
      <c r="D96">
        <v>1</v>
      </c>
    </row>
    <row r="97" spans="1:4" x14ac:dyDescent="0.45">
      <c r="A97" t="s">
        <v>36</v>
      </c>
      <c r="B97" t="s">
        <v>9</v>
      </c>
      <c r="C97" s="3" t="s">
        <v>82</v>
      </c>
    </row>
    <row r="98" spans="1:4" x14ac:dyDescent="0.45">
      <c r="A98" t="s">
        <v>36</v>
      </c>
      <c r="B98" t="s">
        <v>9</v>
      </c>
      <c r="C98" s="3" t="s">
        <v>93</v>
      </c>
    </row>
    <row r="99" spans="1:4" x14ac:dyDescent="0.45">
      <c r="A99" t="s">
        <v>36</v>
      </c>
      <c r="B99" t="s">
        <v>9</v>
      </c>
      <c r="C99" s="3" t="s">
        <v>85</v>
      </c>
    </row>
    <row r="100" spans="1:4" x14ac:dyDescent="0.45">
      <c r="A100" t="s">
        <v>22</v>
      </c>
      <c r="B100" t="s">
        <v>23</v>
      </c>
      <c r="C100" s="3" t="s">
        <v>87</v>
      </c>
    </row>
    <row r="101" spans="1:4" x14ac:dyDescent="0.45">
      <c r="A101" t="s">
        <v>22</v>
      </c>
      <c r="B101" t="s">
        <v>23</v>
      </c>
      <c r="C101" s="3" t="s">
        <v>80</v>
      </c>
    </row>
    <row r="102" spans="1:4" x14ac:dyDescent="0.45">
      <c r="A102" t="s">
        <v>22</v>
      </c>
      <c r="B102" t="s">
        <v>23</v>
      </c>
      <c r="C102" s="3" t="s">
        <v>89</v>
      </c>
    </row>
    <row r="103" spans="1:4" x14ac:dyDescent="0.45">
      <c r="A103" t="s">
        <v>22</v>
      </c>
      <c r="B103" t="s">
        <v>23</v>
      </c>
      <c r="C103" s="3" t="s">
        <v>94</v>
      </c>
      <c r="D103">
        <v>2</v>
      </c>
    </row>
    <row r="104" spans="1:4" x14ac:dyDescent="0.45">
      <c r="A104" t="s">
        <v>22</v>
      </c>
      <c r="B104" t="s">
        <v>23</v>
      </c>
      <c r="C104" s="3" t="s">
        <v>88</v>
      </c>
    </row>
    <row r="105" spans="1:4" x14ac:dyDescent="0.45">
      <c r="A105" t="s">
        <v>22</v>
      </c>
      <c r="B105" t="s">
        <v>23</v>
      </c>
      <c r="C105" s="3" t="s">
        <v>83</v>
      </c>
    </row>
    <row r="106" spans="1:4" x14ac:dyDescent="0.45">
      <c r="A106" t="s">
        <v>22</v>
      </c>
      <c r="B106" t="s">
        <v>23</v>
      </c>
      <c r="C106" s="3" t="s">
        <v>91</v>
      </c>
    </row>
    <row r="107" spans="1:4" x14ac:dyDescent="0.45">
      <c r="A107" t="s">
        <v>22</v>
      </c>
      <c r="B107" t="s">
        <v>23</v>
      </c>
      <c r="C107" s="3" t="s">
        <v>78</v>
      </c>
    </row>
    <row r="108" spans="1:4" x14ac:dyDescent="0.45">
      <c r="A108" t="s">
        <v>22</v>
      </c>
      <c r="B108" t="s">
        <v>23</v>
      </c>
      <c r="C108" s="3" t="s">
        <v>79</v>
      </c>
    </row>
    <row r="109" spans="1:4" x14ac:dyDescent="0.45">
      <c r="A109" t="s">
        <v>22</v>
      </c>
      <c r="B109" t="s">
        <v>23</v>
      </c>
      <c r="C109" s="3" t="s">
        <v>92</v>
      </c>
    </row>
    <row r="110" spans="1:4" x14ac:dyDescent="0.45">
      <c r="A110" t="s">
        <v>22</v>
      </c>
      <c r="B110" t="s">
        <v>23</v>
      </c>
      <c r="C110" s="3" t="s">
        <v>93</v>
      </c>
    </row>
    <row r="111" spans="1:4" x14ac:dyDescent="0.45">
      <c r="A111" t="s">
        <v>22</v>
      </c>
      <c r="B111" t="s">
        <v>23</v>
      </c>
      <c r="C111" s="3" t="s">
        <v>81</v>
      </c>
    </row>
    <row r="112" spans="1:4" x14ac:dyDescent="0.45">
      <c r="A112" t="s">
        <v>22</v>
      </c>
      <c r="B112" t="s">
        <v>23</v>
      </c>
      <c r="C112" s="3" t="s">
        <v>85</v>
      </c>
    </row>
    <row r="113" spans="1:4" x14ac:dyDescent="0.45">
      <c r="A113" t="s">
        <v>22</v>
      </c>
      <c r="B113" t="s">
        <v>23</v>
      </c>
      <c r="C113" s="3" t="s">
        <v>86</v>
      </c>
      <c r="D113">
        <v>1</v>
      </c>
    </row>
    <row r="114" spans="1:4" x14ac:dyDescent="0.45">
      <c r="A114" t="s">
        <v>29</v>
      </c>
      <c r="B114" t="s">
        <v>30</v>
      </c>
      <c r="C114" s="3" t="s">
        <v>87</v>
      </c>
    </row>
    <row r="115" spans="1:4" x14ac:dyDescent="0.45">
      <c r="A115" t="s">
        <v>29</v>
      </c>
      <c r="B115" t="s">
        <v>30</v>
      </c>
      <c r="C115" s="3" t="s">
        <v>80</v>
      </c>
    </row>
    <row r="116" spans="1:4" x14ac:dyDescent="0.45">
      <c r="A116" t="s">
        <v>29</v>
      </c>
      <c r="B116" t="s">
        <v>30</v>
      </c>
      <c r="C116" s="3" t="s">
        <v>89</v>
      </c>
    </row>
    <row r="117" spans="1:4" x14ac:dyDescent="0.45">
      <c r="A117" t="s">
        <v>29</v>
      </c>
      <c r="B117" t="s">
        <v>30</v>
      </c>
      <c r="C117" s="3" t="s">
        <v>94</v>
      </c>
      <c r="D117">
        <v>1</v>
      </c>
    </row>
    <row r="118" spans="1:4" x14ac:dyDescent="0.45">
      <c r="A118" t="s">
        <v>29</v>
      </c>
      <c r="B118" t="s">
        <v>30</v>
      </c>
      <c r="C118" s="3" t="s">
        <v>88</v>
      </c>
    </row>
    <row r="119" spans="1:4" x14ac:dyDescent="0.45">
      <c r="A119" t="s">
        <v>29</v>
      </c>
      <c r="B119" t="s">
        <v>30</v>
      </c>
      <c r="C119" s="3" t="s">
        <v>83</v>
      </c>
      <c r="D119">
        <v>1</v>
      </c>
    </row>
    <row r="120" spans="1:4" x14ac:dyDescent="0.45">
      <c r="A120" t="s">
        <v>29</v>
      </c>
      <c r="B120" t="s">
        <v>30</v>
      </c>
      <c r="C120" s="3" t="s">
        <v>91</v>
      </c>
    </row>
    <row r="121" spans="1:4" x14ac:dyDescent="0.45">
      <c r="A121" t="s">
        <v>29</v>
      </c>
      <c r="B121" t="s">
        <v>30</v>
      </c>
      <c r="C121" s="3" t="s">
        <v>78</v>
      </c>
    </row>
    <row r="122" spans="1:4" x14ac:dyDescent="0.45">
      <c r="A122" t="s">
        <v>29</v>
      </c>
      <c r="B122" t="s">
        <v>30</v>
      </c>
      <c r="C122" s="3" t="s">
        <v>79</v>
      </c>
    </row>
    <row r="123" spans="1:4" x14ac:dyDescent="0.45">
      <c r="A123" t="s">
        <v>29</v>
      </c>
      <c r="B123" t="s">
        <v>30</v>
      </c>
      <c r="C123" s="3" t="s">
        <v>92</v>
      </c>
      <c r="D123">
        <v>3</v>
      </c>
    </row>
    <row r="124" spans="1:4" x14ac:dyDescent="0.45">
      <c r="A124" t="s">
        <v>29</v>
      </c>
      <c r="B124" t="s">
        <v>30</v>
      </c>
      <c r="C124" s="3" t="s">
        <v>84</v>
      </c>
    </row>
    <row r="125" spans="1:4" x14ac:dyDescent="0.45">
      <c r="A125" t="s">
        <v>29</v>
      </c>
      <c r="B125" t="s">
        <v>30</v>
      </c>
      <c r="C125" s="3" t="s">
        <v>81</v>
      </c>
    </row>
    <row r="126" spans="1:4" x14ac:dyDescent="0.45">
      <c r="A126" t="s">
        <v>29</v>
      </c>
      <c r="B126" t="s">
        <v>30</v>
      </c>
      <c r="C126" s="3" t="s">
        <v>85</v>
      </c>
    </row>
    <row r="127" spans="1:4" x14ac:dyDescent="0.45">
      <c r="A127" t="s">
        <v>29</v>
      </c>
      <c r="B127" t="s">
        <v>30</v>
      </c>
      <c r="C127" s="3" t="s">
        <v>86</v>
      </c>
    </row>
    <row r="128" spans="1:4" x14ac:dyDescent="0.45">
      <c r="A128" t="s">
        <v>33</v>
      </c>
      <c r="B128" t="s">
        <v>13</v>
      </c>
      <c r="C128" s="3" t="s">
        <v>87</v>
      </c>
    </row>
    <row r="129" spans="1:5" x14ac:dyDescent="0.45">
      <c r="A129" t="s">
        <v>33</v>
      </c>
      <c r="B129" t="s">
        <v>13</v>
      </c>
      <c r="C129" s="3" t="s">
        <v>93</v>
      </c>
      <c r="D129">
        <v>2</v>
      </c>
    </row>
    <row r="130" spans="1:5" x14ac:dyDescent="0.45">
      <c r="A130" t="s">
        <v>33</v>
      </c>
      <c r="B130" t="s">
        <v>13</v>
      </c>
      <c r="C130" s="3" t="s">
        <v>89</v>
      </c>
    </row>
    <row r="131" spans="1:5" x14ac:dyDescent="0.45">
      <c r="A131" t="s">
        <v>33</v>
      </c>
      <c r="B131" t="s">
        <v>13</v>
      </c>
      <c r="C131" s="3" t="s">
        <v>94</v>
      </c>
      <c r="D131">
        <v>1</v>
      </c>
    </row>
    <row r="132" spans="1:5" x14ac:dyDescent="0.45">
      <c r="A132" t="s">
        <v>33</v>
      </c>
      <c r="B132" t="s">
        <v>13</v>
      </c>
      <c r="C132" s="3" t="s">
        <v>88</v>
      </c>
    </row>
    <row r="133" spans="1:5" x14ac:dyDescent="0.45">
      <c r="A133" t="s">
        <v>33</v>
      </c>
      <c r="B133" t="s">
        <v>13</v>
      </c>
      <c r="C133" s="3" t="s">
        <v>83</v>
      </c>
      <c r="D133">
        <v>2</v>
      </c>
    </row>
    <row r="134" spans="1:5" x14ac:dyDescent="0.45">
      <c r="A134" t="s">
        <v>33</v>
      </c>
      <c r="B134" t="s">
        <v>13</v>
      </c>
      <c r="C134" s="3" t="s">
        <v>90</v>
      </c>
    </row>
    <row r="135" spans="1:5" x14ac:dyDescent="0.45">
      <c r="A135" t="s">
        <v>33</v>
      </c>
      <c r="B135" t="s">
        <v>13</v>
      </c>
      <c r="C135" s="3" t="s">
        <v>78</v>
      </c>
      <c r="E135">
        <v>1</v>
      </c>
    </row>
    <row r="136" spans="1:5" x14ac:dyDescent="0.45">
      <c r="A136" t="s">
        <v>33</v>
      </c>
      <c r="B136" t="s">
        <v>13</v>
      </c>
      <c r="C136" s="3" t="s">
        <v>79</v>
      </c>
    </row>
    <row r="137" spans="1:5" x14ac:dyDescent="0.45">
      <c r="A137" t="s">
        <v>33</v>
      </c>
      <c r="B137" t="s">
        <v>13</v>
      </c>
      <c r="C137" s="3" t="s">
        <v>92</v>
      </c>
    </row>
    <row r="138" spans="1:5" x14ac:dyDescent="0.45">
      <c r="A138" t="s">
        <v>33</v>
      </c>
      <c r="B138" t="s">
        <v>13</v>
      </c>
      <c r="C138" s="3" t="s">
        <v>84</v>
      </c>
    </row>
    <row r="139" spans="1:5" x14ac:dyDescent="0.45">
      <c r="A139" t="s">
        <v>33</v>
      </c>
      <c r="B139" t="s">
        <v>13</v>
      </c>
      <c r="C139" s="3" t="s">
        <v>81</v>
      </c>
    </row>
    <row r="140" spans="1:5" x14ac:dyDescent="0.45">
      <c r="A140" t="s">
        <v>33</v>
      </c>
      <c r="B140" t="s">
        <v>13</v>
      </c>
      <c r="C140" s="3" t="s">
        <v>85</v>
      </c>
    </row>
    <row r="141" spans="1:5" x14ac:dyDescent="0.45">
      <c r="A141" t="s">
        <v>33</v>
      </c>
      <c r="B141" t="s">
        <v>13</v>
      </c>
      <c r="C141" s="3" t="s">
        <v>82</v>
      </c>
      <c r="D141">
        <v>1</v>
      </c>
    </row>
    <row r="142" spans="1:5" x14ac:dyDescent="0.45">
      <c r="A142" t="s">
        <v>26</v>
      </c>
      <c r="B142" t="s">
        <v>10</v>
      </c>
      <c r="C142" s="3" t="s">
        <v>87</v>
      </c>
    </row>
    <row r="143" spans="1:5" x14ac:dyDescent="0.45">
      <c r="A143" t="s">
        <v>26</v>
      </c>
      <c r="B143" t="s">
        <v>10</v>
      </c>
      <c r="C143" s="3" t="s">
        <v>93</v>
      </c>
    </row>
    <row r="144" spans="1:5" x14ac:dyDescent="0.45">
      <c r="A144" t="s">
        <v>26</v>
      </c>
      <c r="B144" t="s">
        <v>10</v>
      </c>
      <c r="C144" s="3" t="s">
        <v>89</v>
      </c>
      <c r="D144">
        <v>1</v>
      </c>
    </row>
    <row r="145" spans="1:4" x14ac:dyDescent="0.45">
      <c r="A145" t="s">
        <v>26</v>
      </c>
      <c r="B145" t="s">
        <v>10</v>
      </c>
      <c r="C145" s="3" t="s">
        <v>94</v>
      </c>
      <c r="D145">
        <v>2</v>
      </c>
    </row>
    <row r="146" spans="1:4" x14ac:dyDescent="0.45">
      <c r="A146" t="s">
        <v>26</v>
      </c>
      <c r="B146" t="s">
        <v>10</v>
      </c>
      <c r="C146" s="3" t="s">
        <v>88</v>
      </c>
    </row>
    <row r="147" spans="1:4" x14ac:dyDescent="0.45">
      <c r="A147" t="s">
        <v>26</v>
      </c>
      <c r="B147" t="s">
        <v>10</v>
      </c>
      <c r="C147" s="3" t="s">
        <v>83</v>
      </c>
    </row>
    <row r="148" spans="1:4" x14ac:dyDescent="0.45">
      <c r="A148" t="s">
        <v>26</v>
      </c>
      <c r="B148" t="s">
        <v>10</v>
      </c>
      <c r="C148" s="3" t="s">
        <v>90</v>
      </c>
    </row>
    <row r="149" spans="1:4" x14ac:dyDescent="0.45">
      <c r="A149" t="s">
        <v>26</v>
      </c>
      <c r="B149" t="s">
        <v>10</v>
      </c>
      <c r="C149" s="3" t="s">
        <v>78</v>
      </c>
      <c r="D149">
        <v>2</v>
      </c>
    </row>
    <row r="150" spans="1:4" x14ac:dyDescent="0.45">
      <c r="A150" t="s">
        <v>26</v>
      </c>
      <c r="B150" t="s">
        <v>10</v>
      </c>
      <c r="C150" s="3" t="s">
        <v>79</v>
      </c>
    </row>
    <row r="151" spans="1:4" x14ac:dyDescent="0.45">
      <c r="A151" t="s">
        <v>26</v>
      </c>
      <c r="B151" t="s">
        <v>10</v>
      </c>
      <c r="C151" s="3" t="s">
        <v>92</v>
      </c>
    </row>
    <row r="152" spans="1:4" x14ac:dyDescent="0.45">
      <c r="A152" t="s">
        <v>26</v>
      </c>
      <c r="B152" t="s">
        <v>10</v>
      </c>
      <c r="C152" s="3" t="s">
        <v>80</v>
      </c>
    </row>
    <row r="153" spans="1:4" x14ac:dyDescent="0.45">
      <c r="A153" t="s">
        <v>26</v>
      </c>
      <c r="B153" t="s">
        <v>10</v>
      </c>
      <c r="C153" s="3" t="s">
        <v>81</v>
      </c>
    </row>
    <row r="154" spans="1:4" x14ac:dyDescent="0.45">
      <c r="A154" t="s">
        <v>26</v>
      </c>
      <c r="B154" t="s">
        <v>10</v>
      </c>
      <c r="C154" s="3" t="s">
        <v>85</v>
      </c>
    </row>
    <row r="155" spans="1:4" x14ac:dyDescent="0.45">
      <c r="A155" t="s">
        <v>26</v>
      </c>
      <c r="B155" t="s">
        <v>10</v>
      </c>
      <c r="C155" s="3" t="s">
        <v>82</v>
      </c>
    </row>
    <row r="156" spans="1:4" x14ac:dyDescent="0.45">
      <c r="A156" t="s">
        <v>18</v>
      </c>
      <c r="B156" t="s">
        <v>3</v>
      </c>
      <c r="C156" s="3" t="s">
        <v>87</v>
      </c>
    </row>
    <row r="157" spans="1:4" x14ac:dyDescent="0.45">
      <c r="A157" t="s">
        <v>18</v>
      </c>
      <c r="B157" t="s">
        <v>3</v>
      </c>
      <c r="C157" s="3" t="s">
        <v>93</v>
      </c>
      <c r="D157">
        <v>1</v>
      </c>
    </row>
    <row r="158" spans="1:4" x14ac:dyDescent="0.45">
      <c r="A158" t="s">
        <v>18</v>
      </c>
      <c r="B158" t="s">
        <v>3</v>
      </c>
      <c r="C158" s="3" t="s">
        <v>89</v>
      </c>
    </row>
    <row r="159" spans="1:4" x14ac:dyDescent="0.45">
      <c r="A159" t="s">
        <v>18</v>
      </c>
      <c r="B159" t="s">
        <v>3</v>
      </c>
      <c r="C159" s="3" t="s">
        <v>94</v>
      </c>
    </row>
    <row r="160" spans="1:4" x14ac:dyDescent="0.45">
      <c r="A160" t="s">
        <v>18</v>
      </c>
      <c r="B160" t="s">
        <v>3</v>
      </c>
      <c r="C160" s="3" t="s">
        <v>88</v>
      </c>
    </row>
    <row r="161" spans="1:4" x14ac:dyDescent="0.45">
      <c r="A161" t="s">
        <v>18</v>
      </c>
      <c r="B161" t="s">
        <v>3</v>
      </c>
      <c r="C161" s="3" t="s">
        <v>83</v>
      </c>
    </row>
    <row r="162" spans="1:4" x14ac:dyDescent="0.45">
      <c r="A162" t="s">
        <v>18</v>
      </c>
      <c r="B162" t="s">
        <v>3</v>
      </c>
      <c r="C162" s="3" t="s">
        <v>90</v>
      </c>
      <c r="D162">
        <v>1</v>
      </c>
    </row>
    <row r="163" spans="1:4" x14ac:dyDescent="0.45">
      <c r="A163" t="s">
        <v>18</v>
      </c>
      <c r="B163" t="s">
        <v>3</v>
      </c>
      <c r="C163" s="3" t="s">
        <v>78</v>
      </c>
      <c r="D163">
        <v>1</v>
      </c>
    </row>
    <row r="164" spans="1:4" x14ac:dyDescent="0.45">
      <c r="A164" t="s">
        <v>18</v>
      </c>
      <c r="B164" t="s">
        <v>3</v>
      </c>
      <c r="C164" s="3" t="s">
        <v>79</v>
      </c>
    </row>
    <row r="165" spans="1:4" x14ac:dyDescent="0.45">
      <c r="A165" t="s">
        <v>18</v>
      </c>
      <c r="B165" t="s">
        <v>3</v>
      </c>
      <c r="C165" s="3" t="s">
        <v>80</v>
      </c>
    </row>
    <row r="166" spans="1:4" x14ac:dyDescent="0.45">
      <c r="A166" t="s">
        <v>18</v>
      </c>
      <c r="B166" t="s">
        <v>3</v>
      </c>
      <c r="C166" s="3" t="s">
        <v>81</v>
      </c>
    </row>
    <row r="167" spans="1:4" x14ac:dyDescent="0.45">
      <c r="A167" t="s">
        <v>18</v>
      </c>
      <c r="B167" t="s">
        <v>3</v>
      </c>
      <c r="C167" s="3" t="s">
        <v>85</v>
      </c>
    </row>
    <row r="168" spans="1:4" x14ac:dyDescent="0.45">
      <c r="A168" t="s">
        <v>18</v>
      </c>
      <c r="B168" t="s">
        <v>3</v>
      </c>
      <c r="C168" s="3" t="s">
        <v>82</v>
      </c>
    </row>
    <row r="169" spans="1:4" x14ac:dyDescent="0.45">
      <c r="A169" t="s">
        <v>35</v>
      </c>
      <c r="B169" t="s">
        <v>15</v>
      </c>
      <c r="C169" s="3" t="s">
        <v>87</v>
      </c>
    </row>
    <row r="170" spans="1:4" x14ac:dyDescent="0.45">
      <c r="A170" t="s">
        <v>35</v>
      </c>
      <c r="B170" t="s">
        <v>15</v>
      </c>
      <c r="C170" s="3" t="s">
        <v>93</v>
      </c>
    </row>
    <row r="171" spans="1:4" x14ac:dyDescent="0.45">
      <c r="A171" t="s">
        <v>35</v>
      </c>
      <c r="B171" t="s">
        <v>15</v>
      </c>
      <c r="C171" s="3" t="s">
        <v>89</v>
      </c>
    </row>
    <row r="172" spans="1:4" x14ac:dyDescent="0.45">
      <c r="A172" t="s">
        <v>35</v>
      </c>
      <c r="B172" t="s">
        <v>15</v>
      </c>
      <c r="C172" s="3" t="s">
        <v>94</v>
      </c>
      <c r="D172">
        <v>2</v>
      </c>
    </row>
    <row r="173" spans="1:4" x14ac:dyDescent="0.45">
      <c r="A173" t="s">
        <v>35</v>
      </c>
      <c r="B173" t="s">
        <v>15</v>
      </c>
      <c r="C173" s="3" t="s">
        <v>88</v>
      </c>
    </row>
    <row r="174" spans="1:4" x14ac:dyDescent="0.45">
      <c r="A174" t="s">
        <v>35</v>
      </c>
      <c r="B174" t="s">
        <v>15</v>
      </c>
      <c r="C174" s="3" t="s">
        <v>83</v>
      </c>
      <c r="D174">
        <v>1</v>
      </c>
    </row>
    <row r="175" spans="1:4" x14ac:dyDescent="0.45">
      <c r="A175" t="s">
        <v>35</v>
      </c>
      <c r="B175" t="s">
        <v>15</v>
      </c>
      <c r="C175" s="3" t="s">
        <v>90</v>
      </c>
    </row>
    <row r="176" spans="1:4" x14ac:dyDescent="0.45">
      <c r="A176" t="s">
        <v>35</v>
      </c>
      <c r="B176" t="s">
        <v>15</v>
      </c>
      <c r="C176" s="3" t="s">
        <v>78</v>
      </c>
    </row>
    <row r="177" spans="1:4" x14ac:dyDescent="0.45">
      <c r="A177" t="s">
        <v>35</v>
      </c>
      <c r="B177" t="s">
        <v>15</v>
      </c>
      <c r="C177" s="3" t="s">
        <v>79</v>
      </c>
      <c r="D177">
        <v>2</v>
      </c>
    </row>
    <row r="178" spans="1:4" x14ac:dyDescent="0.45">
      <c r="A178" t="s">
        <v>35</v>
      </c>
      <c r="B178" t="s">
        <v>15</v>
      </c>
      <c r="C178" s="3" t="s">
        <v>92</v>
      </c>
      <c r="D178">
        <v>1</v>
      </c>
    </row>
    <row r="179" spans="1:4" x14ac:dyDescent="0.45">
      <c r="A179" t="s">
        <v>35</v>
      </c>
      <c r="B179" t="s">
        <v>15</v>
      </c>
      <c r="C179" s="3" t="s">
        <v>80</v>
      </c>
    </row>
    <row r="180" spans="1:4" x14ac:dyDescent="0.45">
      <c r="A180" t="s">
        <v>35</v>
      </c>
      <c r="B180" t="s">
        <v>15</v>
      </c>
      <c r="C180" s="3" t="s">
        <v>84</v>
      </c>
    </row>
    <row r="181" spans="1:4" x14ac:dyDescent="0.45">
      <c r="A181" t="s">
        <v>35</v>
      </c>
      <c r="B181" t="s">
        <v>15</v>
      </c>
      <c r="C181" s="3" t="s">
        <v>85</v>
      </c>
    </row>
    <row r="182" spans="1:4" x14ac:dyDescent="0.45">
      <c r="A182" t="s">
        <v>27</v>
      </c>
      <c r="B182" t="s">
        <v>28</v>
      </c>
      <c r="C182" s="3" t="s">
        <v>87</v>
      </c>
    </row>
    <row r="183" spans="1:4" x14ac:dyDescent="0.45">
      <c r="A183" t="s">
        <v>27</v>
      </c>
      <c r="B183" t="s">
        <v>28</v>
      </c>
      <c r="C183" s="3" t="s">
        <v>93</v>
      </c>
    </row>
    <row r="184" spans="1:4" x14ac:dyDescent="0.45">
      <c r="A184" t="s">
        <v>27</v>
      </c>
      <c r="B184" t="s">
        <v>28</v>
      </c>
      <c r="C184" s="3" t="s">
        <v>89</v>
      </c>
    </row>
    <row r="185" spans="1:4" x14ac:dyDescent="0.45">
      <c r="A185" t="s">
        <v>27</v>
      </c>
      <c r="B185" t="s">
        <v>28</v>
      </c>
      <c r="C185" s="3" t="s">
        <v>94</v>
      </c>
      <c r="D185">
        <v>1</v>
      </c>
    </row>
    <row r="186" spans="1:4" x14ac:dyDescent="0.45">
      <c r="A186" t="s">
        <v>27</v>
      </c>
      <c r="B186" t="s">
        <v>28</v>
      </c>
      <c r="C186" s="3" t="s">
        <v>88</v>
      </c>
    </row>
    <row r="187" spans="1:4" x14ac:dyDescent="0.45">
      <c r="A187" t="s">
        <v>27</v>
      </c>
      <c r="B187" t="s">
        <v>28</v>
      </c>
      <c r="C187" s="3" t="s">
        <v>83</v>
      </c>
      <c r="D187">
        <v>1</v>
      </c>
    </row>
    <row r="188" spans="1:4" x14ac:dyDescent="0.45">
      <c r="A188" t="s">
        <v>27</v>
      </c>
      <c r="B188" t="s">
        <v>28</v>
      </c>
      <c r="C188" s="3" t="s">
        <v>90</v>
      </c>
    </row>
    <row r="189" spans="1:4" x14ac:dyDescent="0.45">
      <c r="A189" t="s">
        <v>27</v>
      </c>
      <c r="B189" t="s">
        <v>28</v>
      </c>
      <c r="C189" s="3" t="s">
        <v>78</v>
      </c>
    </row>
    <row r="190" spans="1:4" x14ac:dyDescent="0.45">
      <c r="A190" t="s">
        <v>27</v>
      </c>
      <c r="B190" t="s">
        <v>28</v>
      </c>
      <c r="C190" s="3" t="s">
        <v>79</v>
      </c>
    </row>
    <row r="191" spans="1:4" x14ac:dyDescent="0.45">
      <c r="A191" t="s">
        <v>27</v>
      </c>
      <c r="B191" t="s">
        <v>28</v>
      </c>
      <c r="C191" s="3" t="s">
        <v>80</v>
      </c>
    </row>
    <row r="192" spans="1:4" x14ac:dyDescent="0.45">
      <c r="A192" t="s">
        <v>27</v>
      </c>
      <c r="B192" t="s">
        <v>28</v>
      </c>
      <c r="C192" s="3" t="s">
        <v>81</v>
      </c>
    </row>
    <row r="193" spans="1:4" x14ac:dyDescent="0.45">
      <c r="A193" t="s">
        <v>27</v>
      </c>
      <c r="B193" t="s">
        <v>28</v>
      </c>
      <c r="C193" s="3" t="s">
        <v>85</v>
      </c>
    </row>
    <row r="194" spans="1:4" x14ac:dyDescent="0.45">
      <c r="A194" t="s">
        <v>27</v>
      </c>
      <c r="B194" t="s">
        <v>28</v>
      </c>
      <c r="C194" s="3" t="s">
        <v>92</v>
      </c>
    </row>
    <row r="195" spans="1:4" x14ac:dyDescent="0.45">
      <c r="A195" t="s">
        <v>20</v>
      </c>
      <c r="B195" t="s">
        <v>6</v>
      </c>
      <c r="C195" s="3" t="s">
        <v>87</v>
      </c>
    </row>
    <row r="196" spans="1:4" x14ac:dyDescent="0.45">
      <c r="A196" t="s">
        <v>20</v>
      </c>
      <c r="B196" t="s">
        <v>6</v>
      </c>
      <c r="C196" s="3" t="s">
        <v>80</v>
      </c>
    </row>
    <row r="197" spans="1:4" x14ac:dyDescent="0.45">
      <c r="A197" t="s">
        <v>20</v>
      </c>
      <c r="B197" t="s">
        <v>6</v>
      </c>
      <c r="C197" s="3" t="s">
        <v>89</v>
      </c>
      <c r="D197">
        <v>1</v>
      </c>
    </row>
    <row r="198" spans="1:4" x14ac:dyDescent="0.45">
      <c r="A198" t="s">
        <v>20</v>
      </c>
      <c r="B198" t="s">
        <v>6</v>
      </c>
      <c r="C198" s="3" t="s">
        <v>94</v>
      </c>
      <c r="D198">
        <v>1</v>
      </c>
    </row>
    <row r="199" spans="1:4" x14ac:dyDescent="0.45">
      <c r="A199" t="s">
        <v>20</v>
      </c>
      <c r="B199" t="s">
        <v>6</v>
      </c>
      <c r="C199" s="3" t="s">
        <v>88</v>
      </c>
    </row>
    <row r="200" spans="1:4" x14ac:dyDescent="0.45">
      <c r="A200" t="s">
        <v>20</v>
      </c>
      <c r="B200" t="s">
        <v>6</v>
      </c>
      <c r="C200" s="3" t="s">
        <v>83</v>
      </c>
    </row>
    <row r="201" spans="1:4" x14ac:dyDescent="0.45">
      <c r="A201" t="s">
        <v>20</v>
      </c>
      <c r="B201" t="s">
        <v>6</v>
      </c>
      <c r="C201" s="3" t="s">
        <v>91</v>
      </c>
      <c r="D201">
        <v>1</v>
      </c>
    </row>
    <row r="202" spans="1:4" x14ac:dyDescent="0.45">
      <c r="A202" t="s">
        <v>20</v>
      </c>
      <c r="B202" t="s">
        <v>6</v>
      </c>
      <c r="C202" s="3" t="s">
        <v>78</v>
      </c>
      <c r="D202">
        <v>1</v>
      </c>
    </row>
    <row r="203" spans="1:4" x14ac:dyDescent="0.45">
      <c r="A203" t="s">
        <v>20</v>
      </c>
      <c r="B203" t="s">
        <v>6</v>
      </c>
      <c r="C203" s="3" t="s">
        <v>79</v>
      </c>
    </row>
    <row r="204" spans="1:4" x14ac:dyDescent="0.45">
      <c r="A204" t="s">
        <v>20</v>
      </c>
      <c r="B204" t="s">
        <v>6</v>
      </c>
      <c r="C204" s="3" t="s">
        <v>92</v>
      </c>
      <c r="D204">
        <v>1</v>
      </c>
    </row>
    <row r="205" spans="1:4" x14ac:dyDescent="0.45">
      <c r="A205" t="s">
        <v>20</v>
      </c>
      <c r="B205" t="s">
        <v>6</v>
      </c>
      <c r="C205" s="3" t="s">
        <v>90</v>
      </c>
    </row>
    <row r="206" spans="1:4" x14ac:dyDescent="0.45">
      <c r="A206" t="s">
        <v>20</v>
      </c>
      <c r="B206" t="s">
        <v>6</v>
      </c>
      <c r="C206" s="3" t="s">
        <v>93</v>
      </c>
    </row>
    <row r="207" spans="1:4" x14ac:dyDescent="0.45">
      <c r="A207" t="s">
        <v>20</v>
      </c>
      <c r="B207" t="s">
        <v>6</v>
      </c>
      <c r="C207" s="3" t="s">
        <v>85</v>
      </c>
    </row>
    <row r="208" spans="1:4" x14ac:dyDescent="0.45">
      <c r="A208" t="s">
        <v>20</v>
      </c>
      <c r="B208" t="s">
        <v>6</v>
      </c>
      <c r="C208" s="3" t="s">
        <v>81</v>
      </c>
    </row>
    <row r="209" spans="1:4" x14ac:dyDescent="0.45">
      <c r="A209" t="s">
        <v>19</v>
      </c>
      <c r="B209" t="s">
        <v>5</v>
      </c>
      <c r="C209" s="3" t="s">
        <v>87</v>
      </c>
    </row>
    <row r="210" spans="1:4" x14ac:dyDescent="0.45">
      <c r="A210" t="s">
        <v>19</v>
      </c>
      <c r="B210" t="s">
        <v>5</v>
      </c>
      <c r="C210" s="3" t="s">
        <v>80</v>
      </c>
    </row>
    <row r="211" spans="1:4" x14ac:dyDescent="0.45">
      <c r="A211" t="s">
        <v>19</v>
      </c>
      <c r="B211" t="s">
        <v>5</v>
      </c>
      <c r="C211" s="3" t="s">
        <v>89</v>
      </c>
      <c r="D211">
        <v>1</v>
      </c>
    </row>
    <row r="212" spans="1:4" x14ac:dyDescent="0.45">
      <c r="A212" t="s">
        <v>19</v>
      </c>
      <c r="B212" t="s">
        <v>5</v>
      </c>
      <c r="C212" s="3" t="s">
        <v>94</v>
      </c>
      <c r="D212">
        <v>3</v>
      </c>
    </row>
    <row r="213" spans="1:4" x14ac:dyDescent="0.45">
      <c r="A213" t="s">
        <v>19</v>
      </c>
      <c r="B213" t="s">
        <v>5</v>
      </c>
      <c r="C213" s="3" t="s">
        <v>88</v>
      </c>
    </row>
    <row r="214" spans="1:4" x14ac:dyDescent="0.45">
      <c r="A214" t="s">
        <v>19</v>
      </c>
      <c r="B214" t="s">
        <v>5</v>
      </c>
      <c r="C214" s="3" t="s">
        <v>83</v>
      </c>
      <c r="D214">
        <v>1</v>
      </c>
    </row>
    <row r="215" spans="1:4" x14ac:dyDescent="0.45">
      <c r="A215" t="s">
        <v>19</v>
      </c>
      <c r="B215" t="s">
        <v>5</v>
      </c>
      <c r="C215" s="3" t="s">
        <v>91</v>
      </c>
    </row>
    <row r="216" spans="1:4" x14ac:dyDescent="0.45">
      <c r="A216" t="s">
        <v>19</v>
      </c>
      <c r="B216" t="s">
        <v>5</v>
      </c>
      <c r="C216" s="3" t="s">
        <v>78</v>
      </c>
      <c r="D216">
        <v>1</v>
      </c>
    </row>
    <row r="217" spans="1:4" x14ac:dyDescent="0.45">
      <c r="A217" t="s">
        <v>19</v>
      </c>
      <c r="B217" t="s">
        <v>5</v>
      </c>
      <c r="C217" s="3" t="s">
        <v>79</v>
      </c>
    </row>
    <row r="218" spans="1:4" x14ac:dyDescent="0.45">
      <c r="A218" t="s">
        <v>19</v>
      </c>
      <c r="B218" t="s">
        <v>5</v>
      </c>
      <c r="C218" s="3" t="s">
        <v>92</v>
      </c>
    </row>
    <row r="219" spans="1:4" x14ac:dyDescent="0.45">
      <c r="A219" t="s">
        <v>19</v>
      </c>
      <c r="B219" t="s">
        <v>5</v>
      </c>
      <c r="C219" s="3" t="s">
        <v>86</v>
      </c>
    </row>
    <row r="220" spans="1:4" x14ac:dyDescent="0.45">
      <c r="A220" t="s">
        <v>19</v>
      </c>
      <c r="B220" t="s">
        <v>5</v>
      </c>
      <c r="C220" s="3" t="s">
        <v>93</v>
      </c>
    </row>
    <row r="221" spans="1:4" x14ac:dyDescent="0.45">
      <c r="A221" t="s">
        <v>19</v>
      </c>
      <c r="B221" t="s">
        <v>5</v>
      </c>
      <c r="C221" s="3" t="s">
        <v>85</v>
      </c>
    </row>
    <row r="222" spans="1:4" x14ac:dyDescent="0.45">
      <c r="A222" t="s">
        <v>19</v>
      </c>
      <c r="B222" t="s">
        <v>5</v>
      </c>
      <c r="C222" s="3" t="s">
        <v>81</v>
      </c>
    </row>
    <row r="223" spans="1:4" x14ac:dyDescent="0.45">
      <c r="A223" t="s">
        <v>24</v>
      </c>
      <c r="B223" t="s">
        <v>25</v>
      </c>
      <c r="C223" s="3" t="s">
        <v>87</v>
      </c>
    </row>
    <row r="224" spans="1:4" x14ac:dyDescent="0.45">
      <c r="A224" t="s">
        <v>24</v>
      </c>
      <c r="B224" t="s">
        <v>25</v>
      </c>
      <c r="C224" s="3" t="s">
        <v>80</v>
      </c>
    </row>
    <row r="225" spans="1:4" x14ac:dyDescent="0.45">
      <c r="A225" t="s">
        <v>24</v>
      </c>
      <c r="B225" t="s">
        <v>25</v>
      </c>
      <c r="C225" s="3" t="s">
        <v>89</v>
      </c>
      <c r="D225">
        <v>1</v>
      </c>
    </row>
    <row r="226" spans="1:4" x14ac:dyDescent="0.45">
      <c r="A226" t="s">
        <v>24</v>
      </c>
      <c r="B226" t="s">
        <v>25</v>
      </c>
      <c r="C226" s="3" t="s">
        <v>94</v>
      </c>
    </row>
    <row r="227" spans="1:4" x14ac:dyDescent="0.45">
      <c r="A227" t="s">
        <v>24</v>
      </c>
      <c r="B227" t="s">
        <v>25</v>
      </c>
      <c r="C227" s="3" t="s">
        <v>88</v>
      </c>
    </row>
    <row r="228" spans="1:4" x14ac:dyDescent="0.45">
      <c r="A228" t="s">
        <v>24</v>
      </c>
      <c r="B228" t="s">
        <v>25</v>
      </c>
      <c r="C228" s="3" t="s">
        <v>83</v>
      </c>
      <c r="D228">
        <v>1</v>
      </c>
    </row>
    <row r="229" spans="1:4" x14ac:dyDescent="0.45">
      <c r="A229" t="s">
        <v>24</v>
      </c>
      <c r="B229" t="s">
        <v>25</v>
      </c>
      <c r="C229" s="3" t="s">
        <v>91</v>
      </c>
    </row>
    <row r="230" spans="1:4" x14ac:dyDescent="0.45">
      <c r="A230" t="s">
        <v>24</v>
      </c>
      <c r="B230" t="s">
        <v>25</v>
      </c>
      <c r="C230" s="3" t="s">
        <v>78</v>
      </c>
    </row>
    <row r="231" spans="1:4" x14ac:dyDescent="0.45">
      <c r="A231" t="s">
        <v>24</v>
      </c>
      <c r="B231" t="s">
        <v>25</v>
      </c>
      <c r="C231" s="3" t="s">
        <v>79</v>
      </c>
    </row>
    <row r="232" spans="1:4" x14ac:dyDescent="0.45">
      <c r="A232" t="s">
        <v>24</v>
      </c>
      <c r="B232" t="s">
        <v>25</v>
      </c>
      <c r="C232" s="3" t="s">
        <v>92</v>
      </c>
    </row>
    <row r="233" spans="1:4" x14ac:dyDescent="0.45">
      <c r="A233" t="s">
        <v>24</v>
      </c>
      <c r="B233" t="s">
        <v>25</v>
      </c>
      <c r="C233" s="3" t="s">
        <v>90</v>
      </c>
    </row>
    <row r="234" spans="1:4" x14ac:dyDescent="0.45">
      <c r="A234" t="s">
        <v>24</v>
      </c>
      <c r="B234" t="s">
        <v>25</v>
      </c>
      <c r="C234" s="3" t="s">
        <v>93</v>
      </c>
    </row>
    <row r="235" spans="1:4" x14ac:dyDescent="0.45">
      <c r="A235" t="s">
        <v>24</v>
      </c>
      <c r="B235" t="s">
        <v>25</v>
      </c>
      <c r="C235" s="3" t="s">
        <v>85</v>
      </c>
    </row>
    <row r="236" spans="1:4" x14ac:dyDescent="0.45">
      <c r="A236" t="s">
        <v>24</v>
      </c>
      <c r="B236" t="s">
        <v>25</v>
      </c>
      <c r="C236" s="3" t="s">
        <v>81</v>
      </c>
    </row>
    <row r="237" spans="1:4" x14ac:dyDescent="0.45">
      <c r="A237" t="s">
        <v>34</v>
      </c>
      <c r="B237" t="s">
        <v>14</v>
      </c>
      <c r="C237" s="3" t="s">
        <v>80</v>
      </c>
    </row>
    <row r="238" spans="1:4" x14ac:dyDescent="0.45">
      <c r="A238" t="s">
        <v>34</v>
      </c>
      <c r="B238" t="s">
        <v>14</v>
      </c>
      <c r="C238" s="3" t="s">
        <v>89</v>
      </c>
    </row>
    <row r="239" spans="1:4" x14ac:dyDescent="0.45">
      <c r="A239" t="s">
        <v>34</v>
      </c>
      <c r="B239" t="s">
        <v>14</v>
      </c>
      <c r="C239" s="3" t="s">
        <v>94</v>
      </c>
    </row>
    <row r="240" spans="1:4" x14ac:dyDescent="0.45">
      <c r="A240" t="s">
        <v>34</v>
      </c>
      <c r="B240" t="s">
        <v>14</v>
      </c>
      <c r="C240" s="3" t="s">
        <v>88</v>
      </c>
    </row>
    <row r="241" spans="1:4" x14ac:dyDescent="0.45">
      <c r="A241" t="s">
        <v>34</v>
      </c>
      <c r="B241" t="s">
        <v>14</v>
      </c>
      <c r="C241" s="3" t="s">
        <v>83</v>
      </c>
      <c r="D241">
        <v>2</v>
      </c>
    </row>
    <row r="242" spans="1:4" x14ac:dyDescent="0.45">
      <c r="A242" t="s">
        <v>34</v>
      </c>
      <c r="B242" t="s">
        <v>14</v>
      </c>
      <c r="C242" s="3" t="s">
        <v>91</v>
      </c>
    </row>
    <row r="243" spans="1:4" x14ac:dyDescent="0.45">
      <c r="A243" t="s">
        <v>34</v>
      </c>
      <c r="B243" t="s">
        <v>14</v>
      </c>
      <c r="C243" s="3" t="s">
        <v>78</v>
      </c>
    </row>
    <row r="244" spans="1:4" x14ac:dyDescent="0.45">
      <c r="A244" t="s">
        <v>34</v>
      </c>
      <c r="B244" t="s">
        <v>14</v>
      </c>
      <c r="C244" s="3" t="s">
        <v>79</v>
      </c>
    </row>
    <row r="245" spans="1:4" x14ac:dyDescent="0.45">
      <c r="A245" t="s">
        <v>34</v>
      </c>
      <c r="B245" t="s">
        <v>14</v>
      </c>
      <c r="C245" s="3" t="s">
        <v>92</v>
      </c>
    </row>
    <row r="246" spans="1:4" x14ac:dyDescent="0.45">
      <c r="A246" t="s">
        <v>34</v>
      </c>
      <c r="B246" t="s">
        <v>14</v>
      </c>
      <c r="C246" s="3" t="s">
        <v>90</v>
      </c>
    </row>
    <row r="247" spans="1:4" x14ac:dyDescent="0.45">
      <c r="A247" t="s">
        <v>34</v>
      </c>
      <c r="B247" t="s">
        <v>14</v>
      </c>
      <c r="C247" s="3" t="s">
        <v>93</v>
      </c>
    </row>
    <row r="248" spans="1:4" x14ac:dyDescent="0.45">
      <c r="A248" t="s">
        <v>34</v>
      </c>
      <c r="B248" t="s">
        <v>14</v>
      </c>
      <c r="C248" s="3" t="s">
        <v>85</v>
      </c>
    </row>
    <row r="249" spans="1:4" x14ac:dyDescent="0.45">
      <c r="A249" t="s">
        <v>34</v>
      </c>
      <c r="B249" t="s">
        <v>14</v>
      </c>
      <c r="C249" s="3" t="s">
        <v>84</v>
      </c>
    </row>
    <row r="250" spans="1:4" x14ac:dyDescent="0.45">
      <c r="A250" t="s">
        <v>31</v>
      </c>
      <c r="B250" t="s">
        <v>32</v>
      </c>
      <c r="C250" s="3" t="s">
        <v>80</v>
      </c>
    </row>
    <row r="251" spans="1:4" x14ac:dyDescent="0.45">
      <c r="A251" t="s">
        <v>31</v>
      </c>
      <c r="B251" t="s">
        <v>32</v>
      </c>
      <c r="C251" s="3" t="s">
        <v>89</v>
      </c>
      <c r="D251">
        <v>1</v>
      </c>
    </row>
    <row r="252" spans="1:4" x14ac:dyDescent="0.45">
      <c r="A252" t="s">
        <v>31</v>
      </c>
      <c r="B252" t="s">
        <v>32</v>
      </c>
      <c r="C252" s="3" t="s">
        <v>86</v>
      </c>
    </row>
    <row r="253" spans="1:4" x14ac:dyDescent="0.45">
      <c r="A253" t="s">
        <v>31</v>
      </c>
      <c r="B253" t="s">
        <v>32</v>
      </c>
      <c r="C253" s="3" t="s">
        <v>88</v>
      </c>
    </row>
    <row r="254" spans="1:4" x14ac:dyDescent="0.45">
      <c r="A254" t="s">
        <v>31</v>
      </c>
      <c r="B254" t="s">
        <v>32</v>
      </c>
      <c r="C254" s="3" t="s">
        <v>83</v>
      </c>
    </row>
    <row r="255" spans="1:4" x14ac:dyDescent="0.45">
      <c r="A255" t="s">
        <v>31</v>
      </c>
      <c r="B255" t="s">
        <v>32</v>
      </c>
      <c r="C255" s="3" t="s">
        <v>91</v>
      </c>
      <c r="D255">
        <v>2</v>
      </c>
    </row>
    <row r="256" spans="1:4" x14ac:dyDescent="0.45">
      <c r="A256" t="s">
        <v>31</v>
      </c>
      <c r="B256" t="s">
        <v>32</v>
      </c>
      <c r="C256" s="3" t="s">
        <v>78</v>
      </c>
      <c r="D256">
        <v>1</v>
      </c>
    </row>
    <row r="257" spans="1:4" x14ac:dyDescent="0.45">
      <c r="A257" t="s">
        <v>31</v>
      </c>
      <c r="B257" t="s">
        <v>32</v>
      </c>
      <c r="C257" s="3" t="s">
        <v>79</v>
      </c>
      <c r="D257">
        <v>1</v>
      </c>
    </row>
    <row r="258" spans="1:4" x14ac:dyDescent="0.45">
      <c r="A258" t="s">
        <v>31</v>
      </c>
      <c r="B258" t="s">
        <v>32</v>
      </c>
      <c r="C258" s="3" t="s">
        <v>92</v>
      </c>
    </row>
    <row r="259" spans="1:4" x14ac:dyDescent="0.45">
      <c r="A259" t="s">
        <v>31</v>
      </c>
      <c r="B259" t="s">
        <v>32</v>
      </c>
      <c r="C259" s="3" t="s">
        <v>90</v>
      </c>
    </row>
    <row r="260" spans="1:4" x14ac:dyDescent="0.45">
      <c r="A260" t="s">
        <v>31</v>
      </c>
      <c r="B260" t="s">
        <v>32</v>
      </c>
      <c r="C260" s="3" t="s">
        <v>93</v>
      </c>
    </row>
    <row r="261" spans="1:4" x14ac:dyDescent="0.45">
      <c r="A261" t="s">
        <v>31</v>
      </c>
      <c r="B261" t="s">
        <v>32</v>
      </c>
      <c r="C261" s="3" t="s">
        <v>85</v>
      </c>
    </row>
    <row r="262" spans="1:4" x14ac:dyDescent="0.45">
      <c r="A262" t="s">
        <v>31</v>
      </c>
      <c r="B262" t="s">
        <v>32</v>
      </c>
      <c r="C262" s="3" t="s">
        <v>84</v>
      </c>
    </row>
    <row r="263" spans="1:4" x14ac:dyDescent="0.45">
      <c r="A263" t="s">
        <v>21</v>
      </c>
      <c r="B263" t="s">
        <v>8</v>
      </c>
      <c r="C263" s="3" t="s">
        <v>80</v>
      </c>
      <c r="D263">
        <v>1</v>
      </c>
    </row>
    <row r="264" spans="1:4" x14ac:dyDescent="0.45">
      <c r="A264" t="s">
        <v>21</v>
      </c>
      <c r="B264" t="s">
        <v>8</v>
      </c>
      <c r="C264" s="3" t="s">
        <v>89</v>
      </c>
    </row>
    <row r="265" spans="1:4" x14ac:dyDescent="0.45">
      <c r="A265" t="s">
        <v>21</v>
      </c>
      <c r="B265" t="s">
        <v>8</v>
      </c>
      <c r="C265" s="3" t="s">
        <v>86</v>
      </c>
      <c r="D265">
        <v>1</v>
      </c>
    </row>
    <row r="266" spans="1:4" x14ac:dyDescent="0.45">
      <c r="A266" t="s">
        <v>21</v>
      </c>
      <c r="B266" t="s">
        <v>8</v>
      </c>
      <c r="C266" s="3" t="s">
        <v>88</v>
      </c>
    </row>
    <row r="267" spans="1:4" x14ac:dyDescent="0.45">
      <c r="A267" t="s">
        <v>21</v>
      </c>
      <c r="B267" t="s">
        <v>8</v>
      </c>
      <c r="C267" s="3" t="s">
        <v>83</v>
      </c>
    </row>
    <row r="268" spans="1:4" x14ac:dyDescent="0.45">
      <c r="A268" t="s">
        <v>21</v>
      </c>
      <c r="B268" t="s">
        <v>8</v>
      </c>
      <c r="C268" s="3" t="s">
        <v>91</v>
      </c>
      <c r="D268">
        <v>1</v>
      </c>
    </row>
    <row r="269" spans="1:4" x14ac:dyDescent="0.45">
      <c r="A269" t="s">
        <v>21</v>
      </c>
      <c r="B269" t="s">
        <v>8</v>
      </c>
      <c r="C269" s="3" t="s">
        <v>78</v>
      </c>
      <c r="D269">
        <v>2</v>
      </c>
    </row>
    <row r="270" spans="1:4" x14ac:dyDescent="0.45">
      <c r="A270" t="s">
        <v>21</v>
      </c>
      <c r="B270" t="s">
        <v>8</v>
      </c>
      <c r="C270" s="3" t="s">
        <v>79</v>
      </c>
    </row>
    <row r="271" spans="1:4" x14ac:dyDescent="0.45">
      <c r="A271" t="s">
        <v>21</v>
      </c>
      <c r="B271" t="s">
        <v>8</v>
      </c>
      <c r="C271" s="3" t="s">
        <v>92</v>
      </c>
    </row>
    <row r="272" spans="1:4" x14ac:dyDescent="0.45">
      <c r="A272" t="s">
        <v>21</v>
      </c>
      <c r="B272" t="s">
        <v>8</v>
      </c>
      <c r="C272" s="3" t="s">
        <v>90</v>
      </c>
    </row>
    <row r="273" spans="1:4" x14ac:dyDescent="0.45">
      <c r="A273" t="s">
        <v>21</v>
      </c>
      <c r="B273" t="s">
        <v>8</v>
      </c>
      <c r="C273" s="3" t="s">
        <v>93</v>
      </c>
    </row>
    <row r="274" spans="1:4" x14ac:dyDescent="0.45">
      <c r="A274" t="s">
        <v>21</v>
      </c>
      <c r="B274" t="s">
        <v>8</v>
      </c>
      <c r="C274" s="3" t="s">
        <v>85</v>
      </c>
    </row>
    <row r="275" spans="1:4" x14ac:dyDescent="0.45">
      <c r="A275" t="s">
        <v>21</v>
      </c>
      <c r="B275" t="s">
        <v>8</v>
      </c>
      <c r="C275" s="3" t="s">
        <v>84</v>
      </c>
      <c r="D275">
        <v>1</v>
      </c>
    </row>
    <row r="276" spans="1:4" x14ac:dyDescent="0.45">
      <c r="A276" t="s">
        <v>21</v>
      </c>
      <c r="B276" t="s">
        <v>8</v>
      </c>
      <c r="C276" s="3" t="s">
        <v>87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F6AC-EA2A-4018-A67D-6A8A8F540387}">
  <dimension ref="A1:E23"/>
  <sheetViews>
    <sheetView topLeftCell="A5" workbookViewId="0">
      <selection activeCell="G24" sqref="G24"/>
    </sheetView>
  </sheetViews>
  <sheetFormatPr baseColWidth="10" defaultRowHeight="14.25" x14ac:dyDescent="0.45"/>
  <cols>
    <col min="2" max="2" width="8.33203125" bestFit="1" customWidth="1"/>
    <col min="3" max="3" width="8.33203125" customWidth="1"/>
    <col min="4" max="4" width="10.19921875" bestFit="1" customWidth="1"/>
  </cols>
  <sheetData>
    <row r="1" spans="1:5" x14ac:dyDescent="0.45">
      <c r="A1" s="2" t="s">
        <v>17</v>
      </c>
      <c r="B1" s="2" t="s">
        <v>0</v>
      </c>
      <c r="C1" s="2" t="s">
        <v>44</v>
      </c>
      <c r="D1" s="2" t="s">
        <v>45</v>
      </c>
      <c r="E1" s="2" t="s">
        <v>46</v>
      </c>
    </row>
    <row r="2" spans="1:5" x14ac:dyDescent="0.45">
      <c r="A2" t="s">
        <v>18</v>
      </c>
      <c r="B2" t="s">
        <v>3</v>
      </c>
      <c r="C2" t="s">
        <v>47</v>
      </c>
      <c r="D2" t="s">
        <v>48</v>
      </c>
      <c r="E2" t="s">
        <v>49</v>
      </c>
    </row>
    <row r="3" spans="1:5" x14ac:dyDescent="0.45">
      <c r="A3" t="s">
        <v>19</v>
      </c>
      <c r="B3" t="s">
        <v>5</v>
      </c>
      <c r="C3" t="s">
        <v>47</v>
      </c>
      <c r="D3" t="s">
        <v>50</v>
      </c>
      <c r="E3" t="s">
        <v>49</v>
      </c>
    </row>
    <row r="4" spans="1:5" x14ac:dyDescent="0.45">
      <c r="A4" t="s">
        <v>20</v>
      </c>
      <c r="B4" t="s">
        <v>6</v>
      </c>
      <c r="C4" t="s">
        <v>47</v>
      </c>
      <c r="D4" t="s">
        <v>51</v>
      </c>
      <c r="E4" t="s">
        <v>52</v>
      </c>
    </row>
    <row r="5" spans="1:5" x14ac:dyDescent="0.45">
      <c r="A5" t="s">
        <v>21</v>
      </c>
      <c r="B5" t="s">
        <v>8</v>
      </c>
      <c r="C5" t="s">
        <v>47</v>
      </c>
      <c r="D5" t="s">
        <v>53</v>
      </c>
      <c r="E5" t="s">
        <v>52</v>
      </c>
    </row>
    <row r="6" spans="1:5" x14ac:dyDescent="0.45">
      <c r="A6" t="s">
        <v>22</v>
      </c>
      <c r="B6" t="s">
        <v>23</v>
      </c>
      <c r="C6" t="s">
        <v>54</v>
      </c>
      <c r="D6" t="s">
        <v>55</v>
      </c>
      <c r="E6" t="s">
        <v>52</v>
      </c>
    </row>
    <row r="7" spans="1:5" x14ac:dyDescent="0.45">
      <c r="A7" t="s">
        <v>24</v>
      </c>
      <c r="B7" t="s">
        <v>25</v>
      </c>
      <c r="C7" t="s">
        <v>47</v>
      </c>
      <c r="D7" t="s">
        <v>56</v>
      </c>
      <c r="E7" t="s">
        <v>52</v>
      </c>
    </row>
    <row r="8" spans="1:5" x14ac:dyDescent="0.45">
      <c r="A8" t="s">
        <v>26</v>
      </c>
      <c r="B8" t="s">
        <v>10</v>
      </c>
      <c r="C8" t="s">
        <v>47</v>
      </c>
      <c r="D8" t="s">
        <v>57</v>
      </c>
      <c r="E8" t="s">
        <v>52</v>
      </c>
    </row>
    <row r="9" spans="1:5" x14ac:dyDescent="0.45">
      <c r="A9" t="s">
        <v>27</v>
      </c>
      <c r="B9" t="s">
        <v>28</v>
      </c>
      <c r="C9" t="s">
        <v>47</v>
      </c>
      <c r="D9" t="s">
        <v>58</v>
      </c>
      <c r="E9" t="s">
        <v>49</v>
      </c>
    </row>
    <row r="10" spans="1:5" x14ac:dyDescent="0.45">
      <c r="A10" t="s">
        <v>29</v>
      </c>
      <c r="B10" t="s">
        <v>30</v>
      </c>
      <c r="C10" t="s">
        <v>54</v>
      </c>
      <c r="D10" t="s">
        <v>59</v>
      </c>
      <c r="E10" t="s">
        <v>49</v>
      </c>
    </row>
    <row r="11" spans="1:5" x14ac:dyDescent="0.45">
      <c r="A11" t="s">
        <v>31</v>
      </c>
      <c r="B11" t="s">
        <v>32</v>
      </c>
      <c r="C11" t="s">
        <v>47</v>
      </c>
      <c r="D11" t="s">
        <v>60</v>
      </c>
      <c r="E11" t="s">
        <v>49</v>
      </c>
    </row>
    <row r="12" spans="1:5" x14ac:dyDescent="0.45">
      <c r="A12" t="s">
        <v>33</v>
      </c>
      <c r="B12" t="s">
        <v>13</v>
      </c>
      <c r="C12" t="s">
        <v>47</v>
      </c>
      <c r="D12" t="s">
        <v>61</v>
      </c>
      <c r="E12" t="s">
        <v>49</v>
      </c>
    </row>
    <row r="13" spans="1:5" x14ac:dyDescent="0.45">
      <c r="A13" t="s">
        <v>34</v>
      </c>
      <c r="B13" t="s">
        <v>14</v>
      </c>
      <c r="C13" t="s">
        <v>47</v>
      </c>
      <c r="D13" t="s">
        <v>62</v>
      </c>
      <c r="E13" t="s">
        <v>49</v>
      </c>
    </row>
    <row r="14" spans="1:5" x14ac:dyDescent="0.45">
      <c r="A14" t="s">
        <v>35</v>
      </c>
      <c r="B14" t="s">
        <v>15</v>
      </c>
      <c r="C14" t="s">
        <v>47</v>
      </c>
      <c r="D14" t="s">
        <v>63</v>
      </c>
      <c r="E14" t="s">
        <v>49</v>
      </c>
    </row>
    <row r="15" spans="1:5" x14ac:dyDescent="0.45">
      <c r="A15" t="s">
        <v>36</v>
      </c>
      <c r="B15" t="s">
        <v>9</v>
      </c>
      <c r="C15" t="s">
        <v>54</v>
      </c>
      <c r="D15" t="s">
        <v>64</v>
      </c>
      <c r="E15" t="s">
        <v>52</v>
      </c>
    </row>
    <row r="16" spans="1:5" x14ac:dyDescent="0.45">
      <c r="A16" t="s">
        <v>37</v>
      </c>
      <c r="B16" t="s">
        <v>12</v>
      </c>
      <c r="C16" t="s">
        <v>54</v>
      </c>
      <c r="D16" t="s">
        <v>65</v>
      </c>
      <c r="E16" t="s">
        <v>49</v>
      </c>
    </row>
    <row r="17" spans="1:5" x14ac:dyDescent="0.45">
      <c r="A17" t="s">
        <v>38</v>
      </c>
      <c r="B17" t="s">
        <v>39</v>
      </c>
      <c r="C17" t="s">
        <v>54</v>
      </c>
      <c r="D17" t="s">
        <v>66</v>
      </c>
      <c r="E17" t="s">
        <v>52</v>
      </c>
    </row>
    <row r="18" spans="1:5" x14ac:dyDescent="0.45">
      <c r="A18" t="s">
        <v>40</v>
      </c>
      <c r="B18" t="s">
        <v>4</v>
      </c>
      <c r="C18" t="s">
        <v>54</v>
      </c>
      <c r="D18" t="s">
        <v>67</v>
      </c>
      <c r="E18" t="s">
        <v>49</v>
      </c>
    </row>
    <row r="19" spans="1:5" x14ac:dyDescent="0.45">
      <c r="A19" t="s">
        <v>41</v>
      </c>
      <c r="B19" t="s">
        <v>7</v>
      </c>
      <c r="C19" t="s">
        <v>54</v>
      </c>
      <c r="D19" t="s">
        <v>68</v>
      </c>
      <c r="E19" t="s">
        <v>52</v>
      </c>
    </row>
    <row r="20" spans="1:5" x14ac:dyDescent="0.45">
      <c r="A20" t="s">
        <v>42</v>
      </c>
      <c r="B20" t="s">
        <v>11</v>
      </c>
      <c r="C20" t="s">
        <v>54</v>
      </c>
      <c r="D20" t="s">
        <v>69</v>
      </c>
      <c r="E20" t="s">
        <v>52</v>
      </c>
    </row>
    <row r="21" spans="1:5" x14ac:dyDescent="0.45">
      <c r="A21" t="s">
        <v>43</v>
      </c>
      <c r="B21" t="s">
        <v>16</v>
      </c>
      <c r="C21" t="s">
        <v>54</v>
      </c>
      <c r="D21" t="s">
        <v>70</v>
      </c>
      <c r="E21" t="s">
        <v>52</v>
      </c>
    </row>
    <row r="22" spans="1:5" x14ac:dyDescent="0.45">
      <c r="A22" t="s">
        <v>95</v>
      </c>
      <c r="B22" t="s">
        <v>109</v>
      </c>
      <c r="C22" t="s">
        <v>54</v>
      </c>
      <c r="D22" s="10">
        <v>46151</v>
      </c>
      <c r="E22" t="s">
        <v>49</v>
      </c>
    </row>
    <row r="23" spans="1:5" x14ac:dyDescent="0.45">
      <c r="A23" t="s">
        <v>96</v>
      </c>
      <c r="B23" t="s">
        <v>110</v>
      </c>
      <c r="C23" t="s">
        <v>54</v>
      </c>
      <c r="D23" s="10">
        <v>46172</v>
      </c>
      <c r="E23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D14E-B647-421B-B8A2-5507945DFEB6}">
  <dimension ref="A1:E19"/>
  <sheetViews>
    <sheetView workbookViewId="0">
      <selection activeCell="G14" sqref="G14"/>
    </sheetView>
  </sheetViews>
  <sheetFormatPr baseColWidth="10" defaultRowHeight="14.25" x14ac:dyDescent="0.45"/>
  <cols>
    <col min="4" max="4" width="15.06640625" bestFit="1" customWidth="1"/>
  </cols>
  <sheetData>
    <row r="1" spans="1:5" x14ac:dyDescent="0.45">
      <c r="A1" t="s">
        <v>76</v>
      </c>
      <c r="B1" t="s">
        <v>142</v>
      </c>
      <c r="C1" t="s">
        <v>141</v>
      </c>
      <c r="D1" t="s">
        <v>77</v>
      </c>
      <c r="E1" t="s">
        <v>140</v>
      </c>
    </row>
    <row r="2" spans="1:5" x14ac:dyDescent="0.45">
      <c r="A2" s="16">
        <v>5</v>
      </c>
      <c r="B2" t="s">
        <v>139</v>
      </c>
      <c r="C2" s="16" t="s">
        <v>138</v>
      </c>
      <c r="D2" s="3" t="s">
        <v>97</v>
      </c>
      <c r="E2" s="16" t="s">
        <v>113</v>
      </c>
    </row>
    <row r="3" spans="1:5" x14ac:dyDescent="0.45">
      <c r="A3" s="16">
        <v>21</v>
      </c>
      <c r="B3" s="16" t="s">
        <v>137</v>
      </c>
      <c r="C3" s="16" t="s">
        <v>136</v>
      </c>
      <c r="D3" s="3" t="s">
        <v>90</v>
      </c>
      <c r="E3" s="16" t="s">
        <v>113</v>
      </c>
    </row>
    <row r="4" spans="1:5" x14ac:dyDescent="0.45">
      <c r="A4" s="16">
        <v>15</v>
      </c>
      <c r="B4" s="16" t="str">
        <f ca="1">IFERROR(__xludf.DUMMYFUNCTION("REGEXEXTRACT(A11,""[A-Z]{2,}"")"),"COSNIER")</f>
        <v>COSNIER</v>
      </c>
      <c r="C4" s="16" t="s">
        <v>135</v>
      </c>
      <c r="D4" s="3" t="s">
        <v>87</v>
      </c>
      <c r="E4" s="16" t="s">
        <v>124</v>
      </c>
    </row>
    <row r="5" spans="1:5" x14ac:dyDescent="0.45">
      <c r="A5" s="16">
        <v>25</v>
      </c>
      <c r="B5" s="16" t="s">
        <v>134</v>
      </c>
      <c r="C5" s="16" t="s">
        <v>133</v>
      </c>
      <c r="D5" s="3" t="s">
        <v>80</v>
      </c>
      <c r="E5" s="16" t="s">
        <v>117</v>
      </c>
    </row>
    <row r="6" spans="1:5" x14ac:dyDescent="0.45">
      <c r="A6" s="16">
        <v>19</v>
      </c>
      <c r="B6" s="16" t="str">
        <f ca="1">IFERROR(__xludf.DUMMYFUNCTION("REGEXEXTRACT(A12,""[A-Z]{2,}"")"),"GOSTOMSKI")</f>
        <v>GOSTOMSKI</v>
      </c>
      <c r="C6" s="16" t="s">
        <v>132</v>
      </c>
      <c r="D6" s="3" t="s">
        <v>89</v>
      </c>
      <c r="E6" s="16" t="s">
        <v>126</v>
      </c>
    </row>
    <row r="7" spans="1:5" x14ac:dyDescent="0.45">
      <c r="A7" s="16">
        <v>10</v>
      </c>
      <c r="B7" s="16" t="str">
        <f ca="1">IFERROR(__xludf.DUMMYFUNCTION("REGEXEXTRACT(A9,""[A-Z]{2,}"")"),"GREGULSKI")</f>
        <v>GREGULSKI</v>
      </c>
      <c r="C7" s="16" t="s">
        <v>131</v>
      </c>
      <c r="D7" s="3" t="s">
        <v>84</v>
      </c>
      <c r="E7" s="16" t="s">
        <v>113</v>
      </c>
    </row>
    <row r="8" spans="1:5" x14ac:dyDescent="0.45">
      <c r="A8" s="16">
        <v>4</v>
      </c>
      <c r="B8" s="16" t="str">
        <f ca="1">IFERROR(__xludf.DUMMYFUNCTION("REGEXEXTRACT(A16,""[A-Z]{2,}"")"),"HERMAND")</f>
        <v>HERMAND</v>
      </c>
      <c r="C8" s="16" t="s">
        <v>130</v>
      </c>
      <c r="D8" s="3" t="s">
        <v>94</v>
      </c>
      <c r="E8" s="16" t="s">
        <v>126</v>
      </c>
    </row>
    <row r="9" spans="1:5" x14ac:dyDescent="0.45">
      <c r="A9" s="16">
        <v>16</v>
      </c>
      <c r="B9" s="16" t="str">
        <f ca="1">IFERROR(__xludf.DUMMYFUNCTION("REGEXEXTRACT(A21,""[A-Z]{2,}"")"),"MAI")</f>
        <v>MAI</v>
      </c>
      <c r="C9" s="16" t="s">
        <v>129</v>
      </c>
      <c r="D9" s="3" t="s">
        <v>88</v>
      </c>
      <c r="E9" s="16" t="s">
        <v>115</v>
      </c>
    </row>
    <row r="10" spans="1:5" x14ac:dyDescent="0.45">
      <c r="A10" s="16">
        <v>9</v>
      </c>
      <c r="B10" s="16" t="str">
        <f ca="1">IFERROR(__xludf.DUMMYFUNCTION("REGEXEXTRACT(A8,""[A-Z]{2,}"")"),"MINANA")</f>
        <v>MINANA</v>
      </c>
      <c r="C10" s="16" t="s">
        <v>128</v>
      </c>
      <c r="D10" s="3" t="s">
        <v>83</v>
      </c>
      <c r="E10" s="16" t="s">
        <v>113</v>
      </c>
    </row>
    <row r="11" spans="1:5" x14ac:dyDescent="0.45">
      <c r="A11" s="16">
        <v>24</v>
      </c>
      <c r="B11" s="16" t="str">
        <f ca="1">IFERROR(__xludf.DUMMYFUNCTION("REGEXEXTRACT(A15,""[A-Z]{2,}"")"),"MINY")</f>
        <v>MINY</v>
      </c>
      <c r="C11" s="16" t="s">
        <v>127</v>
      </c>
      <c r="D11" s="3" t="s">
        <v>91</v>
      </c>
      <c r="E11" s="16" t="s">
        <v>126</v>
      </c>
    </row>
    <row r="12" spans="1:5" x14ac:dyDescent="0.45">
      <c r="A12" s="16">
        <v>2</v>
      </c>
      <c r="B12" s="16" t="str">
        <f ca="1">IFERROR(__xludf.DUMMYFUNCTION("REGEXEXTRACT(A14,""[A-Z]{2,}"")"),"NAUDIN")</f>
        <v>NAUDIN</v>
      </c>
      <c r="C12" s="16" t="s">
        <v>125</v>
      </c>
      <c r="D12" s="3" t="s">
        <v>78</v>
      </c>
      <c r="E12" s="16" t="s">
        <v>124</v>
      </c>
    </row>
    <row r="13" spans="1:5" x14ac:dyDescent="0.45">
      <c r="A13" s="16">
        <v>3</v>
      </c>
      <c r="B13" s="16" t="str">
        <f ca="1">IFERROR(__xludf.DUMMYFUNCTION("REGEXEXTRACT(A2,""[A-Z]{2,}"")"),"NAUDIN")</f>
        <v>NAUDIN</v>
      </c>
      <c r="C13" s="16" t="s">
        <v>123</v>
      </c>
      <c r="D13" s="3" t="s">
        <v>79</v>
      </c>
      <c r="E13" s="16" t="s">
        <v>117</v>
      </c>
    </row>
    <row r="14" spans="1:5" x14ac:dyDescent="0.45">
      <c r="A14" s="16">
        <v>33</v>
      </c>
      <c r="B14" s="16" t="str">
        <f ca="1">IFERROR(__xludf.DUMMYFUNCTION("REGEXEXTRACT(A17,""[A-Z]{2,}"")"),"NAUDIN")</f>
        <v>NAUDIN</v>
      </c>
      <c r="C14" s="16" t="s">
        <v>122</v>
      </c>
      <c r="D14" s="3" t="s">
        <v>92</v>
      </c>
      <c r="E14" s="16" t="s">
        <v>113</v>
      </c>
    </row>
    <row r="15" spans="1:5" x14ac:dyDescent="0.45">
      <c r="A15" s="16">
        <v>8</v>
      </c>
      <c r="B15" s="16" t="str">
        <f ca="1">IFERROR(__xludf.DUMMYFUNCTION("REGEXEXTRACT(A7,""[A-Z]{2,}"")"),"PANIC")</f>
        <v>PANIC</v>
      </c>
      <c r="C15" s="16" t="s">
        <v>121</v>
      </c>
      <c r="D15" s="3" t="s">
        <v>82</v>
      </c>
      <c r="E15" s="16" t="s">
        <v>113</v>
      </c>
    </row>
    <row r="16" spans="1:5" x14ac:dyDescent="0.45">
      <c r="A16" s="16">
        <v>92</v>
      </c>
      <c r="B16" s="16" t="s">
        <v>120</v>
      </c>
      <c r="C16" s="16" t="s">
        <v>119</v>
      </c>
      <c r="D16" s="3" t="s">
        <v>93</v>
      </c>
      <c r="E16" s="16" t="s">
        <v>117</v>
      </c>
    </row>
    <row r="17" spans="1:5" x14ac:dyDescent="0.45">
      <c r="A17" s="16">
        <v>7</v>
      </c>
      <c r="B17" s="16" t="str">
        <f ca="1">IFERROR(__xludf.DUMMYFUNCTION("REGEXEXTRACT(A18,""[A-Z]{2,}"")"),"PLISSONNIER")</f>
        <v>PLISSONNIER</v>
      </c>
      <c r="C17" s="16" t="s">
        <v>118</v>
      </c>
      <c r="D17" s="3" t="s">
        <v>81</v>
      </c>
      <c r="E17" s="16" t="s">
        <v>117</v>
      </c>
    </row>
    <row r="18" spans="1:5" x14ac:dyDescent="0.45">
      <c r="A18" s="16">
        <v>12</v>
      </c>
      <c r="B18" s="16" t="str">
        <f ca="1">IFERROR(__xludf.DUMMYFUNCTION("REGEXEXTRACT(A20,""[A-Z]{2,}"")"),"STEPHAN")</f>
        <v>STEPHAN</v>
      </c>
      <c r="C18" s="16" t="s">
        <v>116</v>
      </c>
      <c r="D18" s="3" t="s">
        <v>85</v>
      </c>
      <c r="E18" s="16" t="s">
        <v>115</v>
      </c>
    </row>
    <row r="19" spans="1:5" x14ac:dyDescent="0.45">
      <c r="A19" s="16">
        <v>13</v>
      </c>
      <c r="B19" s="16" t="str">
        <f ca="1">IFERROR(__xludf.DUMMYFUNCTION("REGEXEXTRACT(A10,""[A-Z]{2,}"")"),"THELCIDE")</f>
        <v>THELCIDE</v>
      </c>
      <c r="C19" s="16" t="s">
        <v>114</v>
      </c>
      <c r="D19" s="3" t="s">
        <v>86</v>
      </c>
      <c r="E19" s="16" t="s">
        <v>113</v>
      </c>
    </row>
  </sheetData>
  <autoFilter ref="A1:E1" xr:uid="{FA66C61F-1FED-49D2-8623-C0C94F830A4E}">
    <sortState xmlns:xlrd2="http://schemas.microsoft.com/office/spreadsheetml/2017/richdata2" ref="A2:E20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Feuil6</vt:lpstr>
      <vt:lpstr>Tirs &amp; Buts par Match</vt:lpstr>
      <vt:lpstr>Arrêts</vt:lpstr>
      <vt:lpstr>TCD</vt:lpstr>
      <vt:lpstr>StatJoueurs</vt:lpstr>
      <vt:lpstr>Discipline</vt:lpstr>
      <vt:lpstr>RefMatchs</vt:lpstr>
      <vt:lpstr>RefJoueurs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ADJERAD</dc:creator>
  <cp:lastModifiedBy>Maxime ADJERAD</cp:lastModifiedBy>
  <dcterms:created xsi:type="dcterms:W3CDTF">2026-05-03T06:16:02Z</dcterms:created>
  <dcterms:modified xsi:type="dcterms:W3CDTF">2026-05-03T17:14:28Z</dcterms:modified>
</cp:coreProperties>
</file>